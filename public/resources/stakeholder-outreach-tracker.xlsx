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utreach Tracker" sheetId="1" state="visible" r:id="rId1"/>
    <sheet xmlns:r="http://schemas.openxmlformats.org/officeDocument/2006/relationships" name="Dashboard"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5">
    <font>
      <name val="Calibri"/>
      <family val="2"/>
      <color theme="1"/>
      <sz val="11"/>
      <scheme val="minor"/>
    </font>
    <font>
      <b val="1"/>
      <color rgb="00FFFFFF"/>
      <sz val="14"/>
    </font>
    <font>
      <b val="1"/>
      <color rgb="001F3864"/>
      <sz val="11"/>
    </font>
    <font>
      <b val="1"/>
      <color rgb="00FFFFFF"/>
    </font>
    <font>
      <b val="1"/>
    </font>
    <font>
      <b val="1"/>
      <color rgb="009C0006"/>
    </font>
    <font>
      <b val="1"/>
      <color rgb="009C5700"/>
    </font>
    <font>
      <color rgb="00404040"/>
    </font>
    <font>
      <color rgb="00006100"/>
    </font>
    <font>
      <b val="1"/>
      <color rgb="001F3864"/>
      <sz val="12"/>
    </font>
    <font>
      <b val="1"/>
      <color rgb="00404040"/>
    </font>
    <font>
      <b val="1"/>
      <color rgb="001F3864"/>
    </font>
    <font>
      <b val="1"/>
      <color rgb="00006100"/>
    </font>
    <font>
      <i val="1"/>
      <color rgb="00808080"/>
      <sz val="9"/>
    </font>
    <font>
      <color rgb="00808080"/>
      <sz val="9"/>
    </font>
  </fonts>
  <fills count="21">
    <fill>
      <patternFill/>
    </fill>
    <fill>
      <patternFill patternType="gray125"/>
    </fill>
    <fill>
      <patternFill patternType="solid">
        <fgColor rgb="001F3864"/>
        <bgColor rgb="001F3864"/>
      </patternFill>
    </fill>
    <fill>
      <patternFill patternType="solid">
        <fgColor rgb="00D6E4F0"/>
        <bgColor rgb="00D6E4F0"/>
      </patternFill>
    </fill>
    <fill>
      <patternFill patternType="solid">
        <fgColor rgb="002F5496"/>
        <bgColor rgb="002F5496"/>
      </patternFill>
    </fill>
    <fill>
      <patternFill patternType="solid">
        <fgColor rgb="00E2EFDA"/>
        <bgColor rgb="00E2EFDA"/>
      </patternFill>
    </fill>
    <fill>
      <patternFill patternType="solid">
        <fgColor rgb="00DDEBF7"/>
        <bgColor rgb="00DDEBF7"/>
      </patternFill>
    </fill>
    <fill>
      <patternFill patternType="solid">
        <fgColor rgb="00FCE4D6"/>
        <bgColor rgb="00FCE4D6"/>
      </patternFill>
    </fill>
    <fill>
      <patternFill patternType="solid">
        <fgColor rgb="00FFF2CC"/>
        <bgColor rgb="00FFF2CC"/>
      </patternFill>
    </fill>
    <fill>
      <patternFill patternType="solid">
        <fgColor rgb="00E4DFEC"/>
        <bgColor rgb="00E4DFEC"/>
      </patternFill>
    </fill>
    <fill>
      <patternFill patternType="solid">
        <fgColor rgb="00FFC7CE"/>
        <bgColor rgb="00FFC7CE"/>
      </patternFill>
    </fill>
    <fill>
      <patternFill patternType="solid">
        <fgColor rgb="00FFEB9C"/>
        <bgColor rgb="00FFEB9C"/>
      </patternFill>
    </fill>
    <fill>
      <patternFill patternType="solid">
        <fgColor rgb="009C0006"/>
        <bgColor rgb="009C0006"/>
      </patternFill>
    </fill>
    <fill>
      <patternFill patternType="solid">
        <fgColor rgb="00D9D9D9"/>
        <bgColor rgb="00D9D9D9"/>
      </patternFill>
    </fill>
    <fill>
      <patternFill patternType="solid">
        <fgColor rgb="00C6EFCE"/>
        <bgColor rgb="00C6EFCE"/>
      </patternFill>
    </fill>
    <fill>
      <patternFill patternType="solid">
        <fgColor rgb="00BDD7EE"/>
        <bgColor rgb="00BDD7EE"/>
      </patternFill>
    </fill>
    <fill>
      <patternFill patternType="solid">
        <fgColor rgb="00E8D5B7"/>
        <bgColor rgb="00E8D5B7"/>
      </patternFill>
    </fill>
    <fill>
      <patternFill patternType="solid">
        <fgColor rgb="00D5E8D4"/>
        <bgColor rgb="00D5E8D4"/>
      </patternFill>
    </fill>
    <fill>
      <patternFill patternType="solid">
        <fgColor rgb="00D4E5F7"/>
        <bgColor rgb="00D4E5F7"/>
      </patternFill>
    </fill>
    <fill>
      <patternFill patternType="solid">
        <fgColor rgb="00F0E6F6"/>
        <bgColor rgb="00F0E6F6"/>
      </patternFill>
    </fill>
    <fill>
      <patternFill patternType="solid">
        <fgColor rgb="00F2F2F2"/>
        <bgColor rgb="00F2F2F2"/>
      </patternFill>
    </fill>
  </fills>
  <borders count="28">
    <border>
      <left/>
      <right/>
      <top/>
      <bottom/>
      <diagonal/>
    </border>
    <border>
      <left style="thin">
        <color rgb="00FFFFFF"/>
      </left>
      <right style="thin">
        <color rgb="00FFFFFF"/>
      </right>
      <top style="thin">
        <color rgb="00FFFFFF"/>
      </top>
      <bottom style="thin">
        <color rgb="00FFFFFF"/>
      </bottom>
    </border>
    <border>
      <left style="thin">
        <color rgb="00BDD7EE"/>
      </left>
      <right style="thin">
        <color rgb="00BDD7EE"/>
      </right>
      <top style="thin">
        <color rgb="00BDD7EE"/>
      </top>
      <bottom style="thin">
        <color rgb="00BDD7EE"/>
      </bottom>
    </border>
    <border>
      <left style="medium">
        <color rgb="002F5496"/>
      </left>
      <right style="thin">
        <color rgb="00FFFFFF"/>
      </right>
      <top style="medium">
        <color rgb="002F5496"/>
      </top>
      <bottom style="thin">
        <color rgb="00FFFFFF"/>
      </bottom>
    </border>
    <border>
      <left style="thin">
        <color rgb="00FFFFFF"/>
      </left>
      <right style="thin">
        <color rgb="00FFFFFF"/>
      </right>
      <top style="medium">
        <color rgb="002F5496"/>
      </top>
      <bottom style="thin">
        <color rgb="00FFFFFF"/>
      </bottom>
    </border>
    <border>
      <left style="thin">
        <color rgb="00FFFFFF"/>
      </left>
      <right style="medium">
        <color rgb="002F5496"/>
      </right>
      <top style="medium">
        <color rgb="002F5496"/>
      </top>
      <bottom style="thin">
        <color rgb="00FFFFFF"/>
      </bottom>
    </border>
    <border>
      <left style="medium">
        <color rgb="002F5496"/>
      </left>
      <right style="thin">
        <color rgb="00BDD7EE"/>
      </right>
      <top style="thin">
        <color rgb="00BDD7EE"/>
      </top>
      <bottom style="thin">
        <color rgb="00BDD7EE"/>
      </bottom>
    </border>
    <border>
      <left style="thin">
        <color rgb="00BDD7EE"/>
      </left>
      <right style="medium">
        <color rgb="002F5496"/>
      </right>
      <top style="thin">
        <color rgb="00BDD7EE"/>
      </top>
      <bottom style="thin">
        <color rgb="00BDD7EE"/>
      </bottom>
    </border>
    <border>
      <left style="medium">
        <color rgb="002F5496"/>
      </left>
      <right style="thin">
        <color rgb="00BDD7EE"/>
      </right>
      <top style="thin">
        <color rgb="00BDD7EE"/>
      </top>
      <bottom style="medium">
        <color rgb="002F5496"/>
      </bottom>
    </border>
    <border>
      <left style="thin">
        <color rgb="00BDD7EE"/>
      </left>
      <right style="thin">
        <color rgb="00BDD7EE"/>
      </right>
      <top style="thin">
        <color rgb="00BDD7EE"/>
      </top>
      <bottom style="medium">
        <color rgb="002F5496"/>
      </bottom>
    </border>
    <border>
      <left style="thin">
        <color rgb="00BDD7EE"/>
      </left>
      <right style="medium">
        <color rgb="002F5496"/>
      </right>
      <top style="thin">
        <color rgb="00BDD7EE"/>
      </top>
      <bottom style="medium">
        <color rgb="002F5496"/>
      </bottom>
    </border>
    <border>
      <left/>
      <right/>
      <top/>
      <bottom style="medium">
        <color rgb="002F5496"/>
      </bottom>
    </border>
    <border>
      <left style="medium">
        <color rgb="002F5496"/>
      </left>
      <right style="thin">
        <color rgb="00BDD7EE"/>
      </right>
      <top style="medium">
        <color rgb="002F5496"/>
      </top>
      <bottom style="thin">
        <color rgb="00BDD7EE"/>
      </bottom>
    </border>
    <border>
      <left style="thin">
        <color rgb="00BDD7EE"/>
      </left>
      <right style="thin">
        <color rgb="00BDD7EE"/>
      </right>
      <top style="medium">
        <color rgb="002F5496"/>
      </top>
      <bottom style="thin">
        <color rgb="00BDD7EE"/>
      </bottom>
    </border>
    <border>
      <left style="thin">
        <color rgb="00BDD7EE"/>
      </left>
      <right style="medium">
        <color rgb="002F5496"/>
      </right>
      <top style="medium">
        <color rgb="002F5496"/>
      </top>
      <bottom style="thin">
        <color rgb="00BDD7EE"/>
      </bottom>
    </border>
    <border>
      <left/>
      <right/>
      <top/>
      <bottom style="medium">
        <color rgb="002F5496"/>
      </bottom>
      <diagonal/>
    </border>
    <border>
      <left style="medium">
        <color rgb="002F5496"/>
      </left>
      <right/>
      <top style="medium">
        <color rgb="002F5496"/>
      </top>
      <bottom style="medium">
        <color rgb="002F5496"/>
      </bottom>
    </border>
    <border>
      <left/>
      <right/>
      <top style="medium">
        <color rgb="002F5496"/>
      </top>
      <bottom style="medium">
        <color rgb="002F5496"/>
      </bottom>
    </border>
    <border>
      <left/>
      <right style="medium">
        <color rgb="002F5496"/>
      </right>
      <top style="medium">
        <color rgb="002F5496"/>
      </top>
      <bottom style="medium">
        <color rgb="002F5496"/>
      </bottom>
    </border>
    <border>
      <left/>
      <right/>
      <top style="thin">
        <color rgb="00BDD7EE"/>
      </top>
      <bottom/>
      <diagonal/>
    </border>
    <border>
      <left/>
      <right style="thin">
        <color rgb="00BDD7EE"/>
      </right>
      <top style="thin">
        <color rgb="00BDD7EE"/>
      </top>
      <bottom/>
      <diagonal/>
    </border>
    <border>
      <left/>
      <right/>
      <top style="thin">
        <color rgb="00BDD7EE"/>
      </top>
      <bottom style="thin">
        <color rgb="00BDD7EE"/>
      </bottom>
      <diagonal/>
    </border>
    <border>
      <left/>
      <right style="thin">
        <color rgb="00BDD7EE"/>
      </right>
      <top style="thin">
        <color rgb="00BDD7EE"/>
      </top>
      <bottom style="thin">
        <color rgb="00BDD7EE"/>
      </bottom>
      <diagonal/>
    </border>
    <border>
      <left/>
      <right/>
      <top style="medium">
        <color rgb="002F5496"/>
      </top>
      <bottom style="thin">
        <color rgb="00BDD7EE"/>
      </bottom>
    </border>
    <border>
      <left/>
      <right style="medium">
        <color rgb="002F5496"/>
      </right>
      <top style="medium">
        <color rgb="002F5496"/>
      </top>
      <bottom style="thin">
        <color rgb="00BDD7EE"/>
      </bottom>
    </border>
    <border>
      <left style="medium">
        <color rgb="002F5496"/>
      </left>
      <right/>
      <top style="medium">
        <color rgb="002F5496"/>
      </top>
      <bottom/>
    </border>
    <border>
      <left/>
      <right/>
      <top style="medium">
        <color rgb="002F5496"/>
      </top>
      <bottom/>
    </border>
    <border>
      <left/>
      <right style="medium">
        <color rgb="002F5496"/>
      </right>
      <top style="medium">
        <color rgb="002F5496"/>
      </top>
      <bottom/>
    </border>
  </borders>
  <cellStyleXfs count="1">
    <xf numFmtId="0" fontId="0" fillId="0" borderId="0"/>
  </cellStyleXfs>
  <cellXfs count="105">
    <xf numFmtId="0" fontId="0" fillId="0" borderId="0" pivotButton="0" quotePrefix="0" xfId="0"/>
    <xf numFmtId="0" fontId="1" fillId="2" borderId="0" applyAlignment="1" pivotButton="0" quotePrefix="0" xfId="0">
      <alignment horizontal="center" wrapText="1"/>
    </xf>
    <xf numFmtId="0" fontId="2" fillId="3" borderId="0" applyAlignment="1" pivotButton="0" quotePrefix="0" xfId="0">
      <alignment horizontal="center"/>
    </xf>
    <xf numFmtId="0" fontId="3" fillId="4" borderId="3" applyAlignment="1" pivotButton="0" quotePrefix="0" xfId="0">
      <alignment horizontal="center" wrapText="1"/>
    </xf>
    <xf numFmtId="0" fontId="3" fillId="4" borderId="4" applyAlignment="1" pivotButton="0" quotePrefix="0" xfId="0">
      <alignment horizontal="center" wrapText="1"/>
    </xf>
    <xf numFmtId="0" fontId="3" fillId="4" borderId="5" applyAlignment="1" pivotButton="0" quotePrefix="0" xfId="0">
      <alignment horizontal="center" wrapText="1"/>
    </xf>
    <xf numFmtId="0" fontId="4" fillId="5" borderId="6" applyAlignment="1" pivotButton="0" quotePrefix="0" xfId="0">
      <alignment vertical="top" wrapText="1"/>
    </xf>
    <xf numFmtId="0" fontId="0" fillId="0" borderId="2" applyAlignment="1" pivotButton="0" quotePrefix="0" xfId="0">
      <alignment vertical="top" wrapText="1"/>
    </xf>
    <xf numFmtId="0" fontId="5" fillId="10" borderId="2" applyAlignment="1" pivotButton="0" quotePrefix="0" xfId="0">
      <alignment horizontal="center"/>
    </xf>
    <xf numFmtId="0" fontId="7" fillId="13" borderId="2" applyAlignment="1" pivotButton="0" quotePrefix="0" xfId="0">
      <alignment horizontal="center"/>
    </xf>
    <xf numFmtId="0" fontId="0" fillId="0" borderId="2" applyAlignment="1" pivotButton="0" quotePrefix="0" xfId="0">
      <alignment horizontal="center"/>
    </xf>
    <xf numFmtId="164" fontId="0" fillId="0" borderId="2" applyAlignment="1" pivotButton="0" quotePrefix="0" xfId="0">
      <alignment vertical="top" wrapText="1"/>
    </xf>
    <xf numFmtId="0" fontId="0" fillId="0" borderId="7" applyAlignment="1" pivotButton="0" quotePrefix="0" xfId="0">
      <alignment vertical="top" wrapText="1"/>
    </xf>
    <xf numFmtId="0" fontId="4" fillId="6" borderId="6" applyAlignment="1" pivotButton="0" quotePrefix="0" xfId="0">
      <alignment vertical="top" wrapText="1"/>
    </xf>
    <xf numFmtId="0" fontId="6" fillId="11" borderId="2" applyAlignment="1" pivotButton="0" quotePrefix="0" xfId="0">
      <alignment horizontal="center"/>
    </xf>
    <xf numFmtId="0" fontId="4" fillId="7" borderId="6" applyAlignment="1" pivotButton="0" quotePrefix="0" xfId="0">
      <alignment vertical="top" wrapText="1"/>
    </xf>
    <xf numFmtId="0" fontId="4" fillId="8" borderId="6" applyAlignment="1" pivotButton="0" quotePrefix="0" xfId="0">
      <alignment vertical="top" wrapText="1"/>
    </xf>
    <xf numFmtId="0" fontId="4" fillId="9" borderId="8" applyAlignment="1" pivotButton="0" quotePrefix="0" xfId="0">
      <alignment vertical="top" wrapText="1"/>
    </xf>
    <xf numFmtId="0" fontId="0" fillId="0" borderId="9" applyAlignment="1" pivotButton="0" quotePrefix="0" xfId="0">
      <alignment vertical="top" wrapText="1"/>
    </xf>
    <xf numFmtId="0" fontId="3" fillId="12" borderId="9" applyAlignment="1" pivotButton="0" quotePrefix="0" xfId="0">
      <alignment horizontal="center"/>
    </xf>
    <xf numFmtId="0" fontId="8" fillId="14" borderId="9" applyAlignment="1" pivotButton="0" quotePrefix="0" xfId="0">
      <alignment horizontal="center"/>
    </xf>
    <xf numFmtId="0" fontId="0" fillId="0" borderId="9" applyAlignment="1" pivotButton="0" quotePrefix="0" xfId="0">
      <alignment horizontal="center"/>
    </xf>
    <xf numFmtId="164" fontId="0" fillId="0" borderId="9" applyAlignment="1" pivotButton="0" quotePrefix="0" xfId="0">
      <alignment vertical="top" wrapText="1"/>
    </xf>
    <xf numFmtId="0" fontId="0" fillId="0" borderId="10" applyAlignment="1" pivotButton="0" quotePrefix="0" xfId="0">
      <alignment vertical="top" wrapText="1"/>
    </xf>
    <xf numFmtId="164" fontId="0" fillId="0" borderId="2" applyAlignment="1" pivotButton="0" quotePrefix="0" xfId="0">
      <alignment vertical="top" wrapText="1"/>
    </xf>
    <xf numFmtId="164" fontId="0" fillId="0" borderId="9" applyAlignment="1" pivotButton="0" quotePrefix="0" xfId="0">
      <alignment vertical="top" wrapText="1"/>
    </xf>
    <xf numFmtId="0" fontId="1" fillId="2" borderId="0" applyAlignment="1" pivotButton="0" quotePrefix="0" xfId="0">
      <alignment horizontal="center"/>
    </xf>
    <xf numFmtId="0" fontId="9" fillId="3" borderId="11" pivotButton="0" quotePrefix="0" xfId="0"/>
    <xf numFmtId="0" fontId="0" fillId="0" borderId="11" pivotButton="0" quotePrefix="0" xfId="0"/>
    <xf numFmtId="0" fontId="3" fillId="4" borderId="12" applyAlignment="1" pivotButton="0" quotePrefix="0" xfId="0">
      <alignment horizontal="center"/>
    </xf>
    <xf numFmtId="0" fontId="3" fillId="4" borderId="13" applyAlignment="1" pivotButton="0" quotePrefix="0" xfId="0">
      <alignment horizontal="center"/>
    </xf>
    <xf numFmtId="0" fontId="3" fillId="4" borderId="14" applyAlignment="1" pivotButton="0" quotePrefix="0" xfId="0">
      <alignment horizontal="center"/>
    </xf>
    <xf numFmtId="0" fontId="4" fillId="0" borderId="6" pivotButton="0" quotePrefix="0" xfId="0"/>
    <xf numFmtId="0" fontId="0" fillId="0" borderId="7" pivotButton="0" quotePrefix="0" xfId="0"/>
    <xf numFmtId="0" fontId="4" fillId="14" borderId="6" pivotButton="0" quotePrefix="0" xfId="0"/>
    <xf numFmtId="0" fontId="0" fillId="0" borderId="7" applyAlignment="1" pivotButton="0" quotePrefix="0" xfId="0">
      <alignment horizontal="center"/>
    </xf>
    <xf numFmtId="9" fontId="0" fillId="0" borderId="7" applyAlignment="1" pivotButton="0" quotePrefix="0" xfId="0">
      <alignment horizontal="center"/>
    </xf>
    <xf numFmtId="0" fontId="4" fillId="6" borderId="6" pivotButton="0" quotePrefix="0" xfId="0"/>
    <xf numFmtId="0" fontId="4" fillId="7" borderId="6" pivotButton="0" quotePrefix="0" xfId="0"/>
    <xf numFmtId="0" fontId="4" fillId="0" borderId="8" pivotButton="0" quotePrefix="0" xfId="0"/>
    <xf numFmtId="9" fontId="0" fillId="0" borderId="10" applyAlignment="1" pivotButton="0" quotePrefix="0" xfId="0">
      <alignment horizontal="center"/>
    </xf>
    <xf numFmtId="0" fontId="4" fillId="5" borderId="6" pivotButton="0" quotePrefix="0" xfId="0"/>
    <xf numFmtId="0" fontId="4" fillId="8" borderId="8" pivotButton="0" quotePrefix="0" xfId="0"/>
    <xf numFmtId="0" fontId="0" fillId="0" borderId="10" applyAlignment="1" pivotButton="0" quotePrefix="0" xfId="0">
      <alignment horizontal="center"/>
    </xf>
    <xf numFmtId="0" fontId="0" fillId="13" borderId="6" pivotButton="0" quotePrefix="0" xfId="0"/>
    <xf numFmtId="0" fontId="0" fillId="14" borderId="6" pivotButton="0" quotePrefix="0" xfId="0"/>
    <xf numFmtId="0" fontId="0" fillId="0" borderId="6" applyAlignment="1" pivotButton="0" quotePrefix="0" xfId="0">
      <alignment wrapText="1"/>
    </xf>
    <xf numFmtId="164" fontId="0" fillId="0" borderId="2" applyAlignment="1" pivotButton="0" quotePrefix="0" xfId="0">
      <alignment horizontal="center"/>
    </xf>
    <xf numFmtId="0" fontId="0" fillId="0" borderId="7" applyAlignment="1" pivotButton="0" quotePrefix="0" xfId="0">
      <alignment wrapText="1"/>
    </xf>
    <xf numFmtId="0" fontId="0" fillId="15" borderId="6" pivotButton="0" quotePrefix="0" xfId="0"/>
    <xf numFmtId="0" fontId="0" fillId="11" borderId="8" pivotButton="0" quotePrefix="0" xfId="0"/>
    <xf numFmtId="0" fontId="11" fillId="3" borderId="2" applyAlignment="1" pivotButton="0" quotePrefix="0" xfId="0">
      <alignment horizontal="center"/>
    </xf>
    <xf numFmtId="0" fontId="12" fillId="14" borderId="2" applyAlignment="1" pivotButton="0" quotePrefix="0" xfId="0">
      <alignment horizontal="center"/>
    </xf>
    <xf numFmtId="0" fontId="3" fillId="12" borderId="6" pivotButton="0" quotePrefix="0" xfId="0"/>
    <xf numFmtId="0" fontId="10" fillId="13" borderId="2" applyAlignment="1" pivotButton="0" quotePrefix="0" xfId="0">
      <alignment horizontal="center"/>
    </xf>
    <xf numFmtId="0" fontId="5" fillId="10" borderId="6" pivotButton="0" quotePrefix="0" xfId="0"/>
    <xf numFmtId="0" fontId="6" fillId="11" borderId="6" pivotButton="0" quotePrefix="0" xfId="0"/>
    <xf numFmtId="0" fontId="10" fillId="13" borderId="8" pivotButton="0" quotePrefix="0" xfId="0"/>
    <xf numFmtId="0" fontId="0" fillId="0" borderId="8" applyAlignment="1" pivotButton="0" quotePrefix="0" xfId="0">
      <alignment wrapText="1"/>
    </xf>
    <xf numFmtId="164" fontId="0" fillId="0" borderId="9" applyAlignment="1" pivotButton="0" quotePrefix="0" xfId="0">
      <alignment horizontal="center"/>
    </xf>
    <xf numFmtId="0" fontId="10" fillId="13" borderId="9" applyAlignment="1" pivotButton="0" quotePrefix="0" xfId="0">
      <alignment horizontal="center"/>
    </xf>
    <xf numFmtId="0" fontId="0" fillId="0" borderId="10" applyAlignment="1" pivotButton="0" quotePrefix="0" xfId="0">
      <alignment wrapText="1"/>
    </xf>
    <xf numFmtId="0" fontId="4" fillId="8" borderId="6" pivotButton="0" quotePrefix="0" xfId="0"/>
    <xf numFmtId="0" fontId="4" fillId="9" borderId="8" pivotButton="0" quotePrefix="0" xfId="0"/>
    <xf numFmtId="0" fontId="13" fillId="0" borderId="0" pivotButton="0" quotePrefix="0" xfId="0"/>
    <xf numFmtId="0" fontId="0" fillId="0" borderId="15" pivotButton="0" quotePrefix="0" xfId="0"/>
    <xf numFmtId="0" fontId="4" fillId="9" borderId="6" applyAlignment="1" pivotButton="0" quotePrefix="0" xfId="0">
      <alignment vertical="top" wrapText="1"/>
    </xf>
    <xf numFmtId="0" fontId="3" fillId="12" borderId="2" applyAlignment="1" pivotButton="0" quotePrefix="0" xfId="0">
      <alignment horizontal="center"/>
    </xf>
    <xf numFmtId="0" fontId="8" fillId="14" borderId="2" applyAlignment="1" pivotButton="0" quotePrefix="0" xfId="0">
      <alignment horizontal="center"/>
    </xf>
    <xf numFmtId="0" fontId="4" fillId="16" borderId="6" applyAlignment="1" pivotButton="0" quotePrefix="0" xfId="0">
      <alignment vertical="top" wrapText="1"/>
    </xf>
    <xf numFmtId="0" fontId="4" fillId="17" borderId="6" applyAlignment="1" pivotButton="0" quotePrefix="0" xfId="0">
      <alignment vertical="top" wrapText="1"/>
    </xf>
    <xf numFmtId="0" fontId="4" fillId="18" borderId="6" applyAlignment="1" pivotButton="0" quotePrefix="0" xfId="0">
      <alignment vertical="top" wrapText="1"/>
    </xf>
    <xf numFmtId="0" fontId="4" fillId="19" borderId="6" applyAlignment="1" pivotButton="0" quotePrefix="0" xfId="0">
      <alignment vertical="top" wrapText="1"/>
    </xf>
    <xf numFmtId="0" fontId="4" fillId="20" borderId="6" applyAlignment="1" pivotButton="0" quotePrefix="0" xfId="0">
      <alignment vertical="top" wrapText="1"/>
    </xf>
    <xf numFmtId="0" fontId="7" fillId="13" borderId="9" applyAlignment="1" pivotButton="0" quotePrefix="0" xfId="0">
      <alignment horizontal="center"/>
    </xf>
    <xf numFmtId="0" fontId="9" fillId="3" borderId="16" pivotButton="0" quotePrefix="0" xfId="0"/>
    <xf numFmtId="0" fontId="0" fillId="0" borderId="17" pivotButton="0" quotePrefix="0" xfId="0"/>
    <xf numFmtId="0" fontId="0" fillId="0" borderId="18" pivotButton="0" quotePrefix="0" xfId="0"/>
    <xf numFmtId="0" fontId="3" fillId="4" borderId="6" applyAlignment="1" pivotButton="0" quotePrefix="0" xfId="0">
      <alignment horizontal="center"/>
    </xf>
    <xf numFmtId="0" fontId="3" fillId="4" borderId="2" applyAlignment="1" pivotButton="0" quotePrefix="0" xfId="0">
      <alignment horizontal="center"/>
    </xf>
    <xf numFmtId="0" fontId="3" fillId="4" borderId="7" applyAlignment="1" pivotButton="0" quotePrefix="0" xfId="0">
      <alignment horizontal="center"/>
    </xf>
    <xf numFmtId="0" fontId="4" fillId="3" borderId="6" pivotButton="0" quotePrefix="0" xfId="0"/>
    <xf numFmtId="0" fontId="4" fillId="4" borderId="6" applyAlignment="1" pivotButton="0" quotePrefix="0" xfId="0">
      <alignment horizontal="center"/>
    </xf>
    <xf numFmtId="0" fontId="4" fillId="0" borderId="6" applyAlignment="1" pivotButton="0" quotePrefix="0" xfId="0">
      <alignment wrapText="1"/>
    </xf>
    <xf numFmtId="0" fontId="4" fillId="0" borderId="8" applyAlignment="1" pivotButton="0" quotePrefix="0" xfId="0">
      <alignment wrapText="1"/>
    </xf>
    <xf numFmtId="0" fontId="11" fillId="3" borderId="9" applyAlignment="1" pivotButton="0" quotePrefix="0" xfId="0">
      <alignment horizontal="center"/>
    </xf>
    <xf numFmtId="0" fontId="9" fillId="3" borderId="12" applyAlignment="1" pivotButton="0" quotePrefix="0" xfId="0">
      <alignment wrapText="1"/>
    </xf>
    <xf numFmtId="0" fontId="0" fillId="0" borderId="23" pivotButton="0" quotePrefix="0" xfId="0"/>
    <xf numFmtId="0" fontId="0" fillId="0" borderId="24" pivotButton="0" quotePrefix="0" xfId="0"/>
    <xf numFmtId="164" fontId="3" fillId="4" borderId="2" applyAlignment="1" pivotButton="0" quotePrefix="0" xfId="0">
      <alignment horizontal="center"/>
    </xf>
    <xf numFmtId="0" fontId="3" fillId="13" borderId="6" pivotButton="0" quotePrefix="0" xfId="0"/>
    <xf numFmtId="0" fontId="5" fillId="14" borderId="6" pivotButton="0" quotePrefix="0" xfId="0"/>
    <xf numFmtId="0" fontId="0" fillId="0" borderId="6" pivotButton="0" quotePrefix="0" xfId="0"/>
    <xf numFmtId="0" fontId="9" fillId="3" borderId="25" pivotButton="0" quotePrefix="0" xfId="0"/>
    <xf numFmtId="0" fontId="0" fillId="0" borderId="26" pivotButton="0" quotePrefix="0" xfId="0"/>
    <xf numFmtId="0" fontId="0" fillId="0" borderId="27" pivotButton="0" quotePrefix="0" xfId="0"/>
    <xf numFmtId="0" fontId="0" fillId="0" borderId="8" pivotButton="0" quotePrefix="0" xfId="0"/>
    <xf numFmtId="0" fontId="0" fillId="0" borderId="10" pivotButton="0" quotePrefix="0" xfId="0"/>
    <xf numFmtId="0" fontId="4" fillId="9" borderId="6" pivotButton="0" quotePrefix="0" xfId="0"/>
    <xf numFmtId="0" fontId="4" fillId="16" borderId="6" pivotButton="0" quotePrefix="0" xfId="0"/>
    <xf numFmtId="0" fontId="4" fillId="17" borderId="6" pivotButton="0" quotePrefix="0" xfId="0"/>
    <xf numFmtId="0" fontId="4" fillId="18" borderId="6" pivotButton="0" quotePrefix="0" xfId="0"/>
    <xf numFmtId="0" fontId="4" fillId="19" borderId="6" pivotButton="0" quotePrefix="0" xfId="0"/>
    <xf numFmtId="0" fontId="4" fillId="20" borderId="6"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rPr sz="1100" b="1"/>
              <a:t>Entities by Status</a:t>
            </a:r>
          </a:p>
        </rich>
      </tx>
      <overlay val="0"/>
    </title>
    <plotArea>
      <pieChart>
        <varyColors val="1"/>
        <ser>
          <idx val="0"/>
          <order val="0"/>
          <tx>
            <strRef>
              <f>'Dashboard'!B12</f>
            </strRef>
          </tx>
          <spPr>
            <a:ln xmlns:a="http://schemas.openxmlformats.org/drawingml/2006/main">
              <a:prstDash val="solid"/>
            </a:ln>
          </spPr>
          <dPt>
            <idx val="0"/>
            <spPr>
              <a:solidFill xmlns:a="http://schemas.openxmlformats.org/drawingml/2006/main">
                <a:srgbClr val="D9D9D9"/>
              </a:solidFill>
              <a:ln xmlns:a="http://schemas.openxmlformats.org/drawingml/2006/main">
                <a:prstDash val="solid"/>
              </a:ln>
            </spPr>
          </dPt>
          <dPt>
            <idx val="1"/>
            <spPr>
              <a:solidFill xmlns:a="http://schemas.openxmlformats.org/drawingml/2006/main">
                <a:srgbClr val="6AA84F"/>
              </a:solidFill>
              <a:ln xmlns:a="http://schemas.openxmlformats.org/drawingml/2006/main">
                <a:prstDash val="solid"/>
              </a:ln>
            </spPr>
          </dPt>
          <dPt>
            <idx val="2"/>
            <spPr>
              <a:solidFill xmlns:a="http://schemas.openxmlformats.org/drawingml/2006/main">
                <a:srgbClr val="4472C4"/>
              </a:solidFill>
              <a:ln xmlns:a="http://schemas.openxmlformats.org/drawingml/2006/main">
                <a:prstDash val="solid"/>
              </a:ln>
            </spPr>
          </dPt>
          <dPt>
            <idx val="3"/>
            <spPr>
              <a:solidFill xmlns:a="http://schemas.openxmlformats.org/drawingml/2006/main">
                <a:srgbClr val="F4B942"/>
              </a:solidFill>
              <a:ln xmlns:a="http://schemas.openxmlformats.org/drawingml/2006/main">
                <a:prstDash val="solid"/>
              </a:ln>
            </spPr>
          </dPt>
          <cat>
            <numRef>
              <f>'Dashboard'!$A$13:$A$16</f>
            </numRef>
          </cat>
          <val>
            <numRef>
              <f>'Dashboard'!$B$13:$B$16</f>
            </numRef>
          </val>
        </ser>
        <dLbls>
          <showVal val="0"/>
          <showCatName val="0"/>
          <showSerName val="0"/>
        </dLbls>
        <firstSliceAng val="0"/>
      </pieChart>
    </plotArea>
    <legend>
      <legendPos val="r"/>
      <overlay val="0"/>
      <txPr>
        <a:bodyPr xmlns:a="http://schemas.openxmlformats.org/drawingml/2006/main"/>
        <a:p xmlns:a="http://schemas.openxmlformats.org/drawingml/2006/main">
          <a:pPr>
            <a:defRPr sz="1000" b="0"/>
          </a:pPr>
          <a:r>
            <a:t>None</a:t>
          </a:r>
        </a:p>
      </txP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rPr sz="1100" b="1"/>
              <a:t>Entities by Priority</a:t>
            </a:r>
          </a:p>
        </rich>
      </tx>
      <overlay val="0"/>
    </title>
    <plotArea>
      <pieChart>
        <varyColors val="1"/>
        <ser>
          <idx val="0"/>
          <order val="0"/>
          <tx>
            <strRef>
              <f>'Dashboard'!B19</f>
            </strRef>
          </tx>
          <spPr>
            <a:ln xmlns:a="http://schemas.openxmlformats.org/drawingml/2006/main">
              <a:prstDash val="solid"/>
            </a:ln>
          </spPr>
          <dPt>
            <idx val="0"/>
            <spPr>
              <a:solidFill xmlns:a="http://schemas.openxmlformats.org/drawingml/2006/main">
                <a:srgbClr val="9C0006"/>
              </a:solidFill>
              <a:ln xmlns:a="http://schemas.openxmlformats.org/drawingml/2006/main">
                <a:prstDash val="solid"/>
              </a:ln>
            </spPr>
          </dPt>
          <dPt>
            <idx val="1"/>
            <spPr>
              <a:solidFill xmlns:a="http://schemas.openxmlformats.org/drawingml/2006/main">
                <a:srgbClr val="E06666"/>
              </a:solidFill>
              <a:ln xmlns:a="http://schemas.openxmlformats.org/drawingml/2006/main">
                <a:prstDash val="solid"/>
              </a:ln>
            </spPr>
          </dPt>
          <dPt>
            <idx val="2"/>
            <spPr>
              <a:solidFill xmlns:a="http://schemas.openxmlformats.org/drawingml/2006/main">
                <a:srgbClr val="F4B942"/>
              </a:solidFill>
              <a:ln xmlns:a="http://schemas.openxmlformats.org/drawingml/2006/main">
                <a:prstDash val="solid"/>
              </a:ln>
            </spPr>
          </dPt>
          <dPt>
            <idx val="3"/>
            <spPr>
              <a:solidFill xmlns:a="http://schemas.openxmlformats.org/drawingml/2006/main">
                <a:srgbClr val="D9D9D9"/>
              </a:solidFill>
              <a:ln xmlns:a="http://schemas.openxmlformats.org/drawingml/2006/main">
                <a:prstDash val="solid"/>
              </a:ln>
            </spPr>
          </dPt>
          <cat>
            <numRef>
              <f>'Dashboard'!$A$20:$A$23</f>
            </numRef>
          </cat>
          <val>
            <numRef>
              <f>'Dashboard'!$B$20:$B$23</f>
            </numRef>
          </val>
        </ser>
        <dLbls>
          <showVal val="0"/>
          <showCatName val="0"/>
          <showSerName val="0"/>
        </dLbls>
        <firstSliceAng val="0"/>
      </pieChart>
    </plotArea>
    <legend>
      <legendPos val="r"/>
      <overlay val="0"/>
      <txPr>
        <a:bodyPr xmlns:a="http://schemas.openxmlformats.org/drawingml/2006/main"/>
        <a:p xmlns:a="http://schemas.openxmlformats.org/drawingml/2006/main">
          <a:pPr>
            <a:defRPr sz="1000" b="0"/>
          </a:pPr>
          <a:r>
            <a:t>None</a:t>
          </a:r>
        </a:p>
      </txP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rPr sz="1100" b="1"/>
              <a:t>Entities per Outreach Phase</a:t>
            </a:r>
          </a:p>
        </rich>
      </tx>
      <overlay val="0"/>
    </title>
    <plotArea>
      <barChart>
        <barDir val="col"/>
        <grouping val="clustered"/>
        <ser>
          <idx val="0"/>
          <order val="0"/>
          <tx>
            <strRef>
              <f>'Dashboard'!G5</f>
            </strRef>
          </tx>
          <spPr>
            <a:solidFill xmlns:a="http://schemas.openxmlformats.org/drawingml/2006/main">
              <a:srgbClr val="2F5496"/>
            </a:solidFill>
            <a:ln xmlns:a="http://schemas.openxmlformats.org/drawingml/2006/main">
              <a:prstDash val="solid"/>
            </a:ln>
          </spPr>
          <cat>
            <numRef>
              <f>'Dashboard'!$E$6:$E$10</f>
            </numRef>
          </cat>
          <val>
            <numRef>
              <f>'Dashboard'!$G$6:$G$10</f>
            </numRef>
          </val>
        </ser>
        <dLbls>
          <showVal val="0"/>
          <showCatName val="0"/>
          <showSerName val="0"/>
        </dLbls>
        <gapWidth val="150"/>
        <axId val="10"/>
        <axId val="100"/>
      </barChart>
      <catAx>
        <axId val="10"/>
        <scaling>
          <orientation val="minMax"/>
        </scaling>
        <delete val="0"/>
        <axPos val="l"/>
        <majorTickMark val="none"/>
        <minorTickMark val="none"/>
        <txPr>
          <a:bodyPr xmlns:a="http://schemas.openxmlformats.org/drawingml/2006/main"/>
          <a:p xmlns:a="http://schemas.openxmlformats.org/drawingml/2006/main">
            <a:pPr>
              <a:defRPr sz="1000" b="0"/>
            </a:pPr>
            <a:r>
              <a:t>None</a:t>
            </a:r>
          </a:p>
        </txPr>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rPr sz="1000" b="1"/>
                  <a:t>Count</a:t>
                </a:r>
              </a:p>
            </rich>
          </tx>
          <overlay val="0"/>
        </title>
        <majorTickMark val="none"/>
        <minorTickMark val="none"/>
        <txPr>
          <a:bodyPr xmlns:a="http://schemas.openxmlformats.org/drawingml/2006/main"/>
          <a:p xmlns:a="http://schemas.openxmlformats.org/drawingml/2006/main">
            <a:pPr>
              <a:defRPr sz="1000" b="0"/>
            </a:pPr>
            <a:r>
              <a:t>None</a:t>
            </a:r>
          </a:p>
        </txPr>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charts/chart1.xml" Id="rId1"/><Relationship Type="http://schemas.openxmlformats.org/officeDocument/2006/relationships/chart" Target="../charts/chart2.xml" Id="rId2"/><Relationship Type="http://schemas.openxmlformats.org/officeDocument/2006/relationships/chart" Target="../charts/chart3.xml" Id="rId3"/></Relationships>
</file>

<file path=xl/drawings/drawing1.xml><?xml version="1.0" encoding="utf-8"?>
<wsDr xmlns="http://schemas.openxmlformats.org/drawingml/2006/spreadsheetDrawing">
  <oneCellAnchor>
    <from>
      <col>0</col>
      <colOff>0</colOff>
      <row>34</row>
      <rowOff>0</rowOff>
    </from>
    <ext cx="50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34</row>
      <rowOff>0</rowOff>
    </from>
    <ext cx="504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52</row>
      <rowOff>0</rowOff>
    </from>
    <ext cx="504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drawings/drawing1.xml" Id="rId1"/></Relationships>
</file>

<file path=xl/worksheets/sheet1.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cols>
    <col width="28" customWidth="1" min="1" max="1"/>
    <col width="32" customWidth="1" min="2" max="2"/>
    <col width="30" customWidth="1" min="3" max="3"/>
    <col width="22" customWidth="1" min="4" max="4"/>
    <col width="16" customWidth="1" min="5" max="5"/>
    <col width="12" customWidth="1" min="6" max="6"/>
    <col width="14" customWidth="1" min="7" max="7"/>
    <col width="22" customWidth="1" min="8" max="8"/>
    <col width="12" customWidth="1" min="9" max="9"/>
    <col width="12" customWidth="1" min="10" max="10"/>
    <col width="16" customWidth="1" min="11" max="11"/>
    <col width="38" customWidth="1" min="12" max="12"/>
    <col width="55" customWidth="1" min="13" max="13"/>
    <col width="14" customWidth="1" min="14" max="14"/>
    <col width="14" customWidth="1" min="15" max="15"/>
  </cols>
  <sheetData>
    <row r="1" ht="30" customHeight="1">
      <c r="A1" s="1" t="inlineStr">
        <is>
          <t>DataCenterConsulting.org — Grid-Safe AI Data Center Power Architecture Advisory Campaign</t>
        </is>
      </c>
    </row>
    <row r="2" ht="22" customHeight="1">
      <c r="A2" s="2" t="inlineStr">
        <is>
          <t>Stakeholder Outreach Tracking Matrix</t>
        </is>
      </c>
    </row>
    <row r="3" ht="32" customHeight="1">
      <c r="A3" s="3" t="inlineStr">
        <is>
          <t>Category</t>
        </is>
      </c>
      <c r="B3" s="4" t="inlineStr">
        <is>
          <t>Entity</t>
        </is>
      </c>
      <c r="C3" s="4" t="inlineStr">
        <is>
          <t>Contact</t>
        </is>
      </c>
      <c r="D3" s="4" t="inlineStr">
        <is>
          <t>Email</t>
        </is>
      </c>
      <c r="E3" s="4" t="inlineStr">
        <is>
          <t>Phone</t>
        </is>
      </c>
      <c r="F3" s="4" t="inlineStr">
        <is>
          <t>Priority</t>
        </is>
      </c>
      <c r="G3" s="4" t="inlineStr">
        <is>
          <t>Status</t>
        </is>
      </c>
      <c r="H3" s="4" t="inlineStr">
        <is>
          <t>Outreach Phase</t>
        </is>
      </c>
      <c r="I3" s="4" t="inlineStr">
        <is>
          <t>Letter Sent</t>
        </is>
      </c>
      <c r="J3" s="4" t="inlineStr">
        <is>
          <t>Email Sent</t>
        </is>
      </c>
      <c r="K3" s="4" t="inlineStr">
        <is>
          <t>Meeting Scheduled</t>
        </is>
      </c>
      <c r="L3" s="4" t="inlineStr">
        <is>
          <t>Next Step</t>
        </is>
      </c>
      <c r="M3" s="4" t="inlineStr">
        <is>
          <t>Notes</t>
        </is>
      </c>
      <c r="N3" s="4" t="inlineStr">
        <is>
          <t>Last Updated</t>
        </is>
      </c>
      <c r="O3" s="5" t="inlineStr">
        <is>
          <t>Owner</t>
        </is>
      </c>
    </row>
    <row r="4" ht="60" customHeight="1">
      <c r="A4" s="6" t="inlineStr">
        <is>
          <t>Federal Government / DOE</t>
        </is>
      </c>
      <c r="B4" s="7" t="inlineStr">
        <is>
          <t>DOE Office of Electricity — Grid Modernization Initiative</t>
        </is>
      </c>
      <c r="C4" s="7" t="inlineStr">
        <is>
          <t>Program Director (TBD)</t>
        </is>
      </c>
      <c r="D4" s="7" t="inlineStr">
        <is>
          <t>TBD</t>
        </is>
      </c>
      <c r="E4" s="7" t="inlineStr">
        <is>
          <t>TBD</t>
        </is>
      </c>
      <c r="F4" s="8" t="inlineStr">
        <is>
          <t>High</t>
        </is>
      </c>
      <c r="G4" s="9" t="inlineStr">
        <is>
          <t>Not Started</t>
        </is>
      </c>
      <c r="H4" s="10" t="inlineStr">
        <is>
          <t>Phase 4 (Week 4-6)</t>
        </is>
      </c>
      <c r="I4" s="10" t="inlineStr">
        <is>
          <t>No</t>
        </is>
      </c>
      <c r="J4" s="10" t="inlineStr">
        <is>
          <t>No</t>
        </is>
      </c>
      <c r="K4" s="10" t="inlineStr">
        <is>
          <t>No</t>
        </is>
      </c>
      <c r="L4" s="7" t="inlineStr">
        <is>
          <t>Finalize internal alignment before outreach</t>
        </is>
      </c>
      <c r="M4" s="7" t="inlineStr">
        <is>
          <t>SPARK program $1.9B — concept papers due Apr 2; full apps May 20 2026. Align outreach with GRIP/SPARK framework. Key program: Grid Resilience and Innovation Partnerships.</t>
        </is>
      </c>
      <c r="N4" s="24" t="n">
        <v>46141</v>
      </c>
      <c r="O4" s="12" t="inlineStr">
        <is>
          <t>DataCenterConsulting.org</t>
        </is>
      </c>
    </row>
    <row r="5" ht="60" customHeight="1">
      <c r="A5" s="13" t="inlineStr">
        <is>
          <t>National Laboratories</t>
        </is>
      </c>
      <c r="B5" s="7" t="inlineStr">
        <is>
          <t>NLR / NREL — ARIES Platform</t>
        </is>
      </c>
      <c r="C5" s="7" t="inlineStr">
        <is>
          <t>Andrew Hudgins (ARIES Lab Program Manager)</t>
        </is>
      </c>
      <c r="D5" s="7" t="inlineStr">
        <is>
          <t>TBD</t>
        </is>
      </c>
      <c r="E5" s="7" t="inlineStr">
        <is>
          <t>TBD</t>
        </is>
      </c>
      <c r="F5" s="8" t="inlineStr">
        <is>
          <t>High</t>
        </is>
      </c>
      <c r="G5" s="9" t="inlineStr">
        <is>
          <t>Not Started</t>
        </is>
      </c>
      <c r="H5" s="10" t="inlineStr">
        <is>
          <t>Phase 2 (Week 2-3)</t>
        </is>
      </c>
      <c r="I5" s="10" t="inlineStr">
        <is>
          <t>No</t>
        </is>
      </c>
      <c r="J5" s="10" t="inlineStr">
        <is>
          <t>No</t>
        </is>
      </c>
      <c r="K5" s="10" t="inlineStr">
        <is>
          <t>No</t>
        </is>
      </c>
      <c r="L5" s="7" t="inlineStr">
        <is>
          <t>Draft partnership proposal referencing ON.energy validation at Flatirons</t>
        </is>
      </c>
      <c r="M5" s="7" t="inlineStr">
        <is>
          <t>ARIES at Flatirons Campus — 20MW load simulator; 7MW grid simulator; 13.2kV. ON.energy AI UPS already deployed and validated here.</t>
        </is>
      </c>
      <c r="N5" s="24" t="n">
        <v>46141</v>
      </c>
      <c r="O5" s="12" t="inlineStr">
        <is>
          <t>DataCenterConsulting.org</t>
        </is>
      </c>
    </row>
    <row r="6" ht="60" customHeight="1">
      <c r="A6" s="13" t="inlineStr">
        <is>
          <t>National Laboratories</t>
        </is>
      </c>
      <c r="B6" s="7" t="inlineStr">
        <is>
          <t>PNNL — Grid Modernization Group</t>
        </is>
      </c>
      <c r="C6" s="7" t="inlineStr">
        <is>
          <t>Division Director (TBD)</t>
        </is>
      </c>
      <c r="D6" s="7" t="inlineStr">
        <is>
          <t>TBD</t>
        </is>
      </c>
      <c r="E6" s="7" t="inlineStr">
        <is>
          <t>TBD</t>
        </is>
      </c>
      <c r="F6" s="14" t="inlineStr">
        <is>
          <t>Medium</t>
        </is>
      </c>
      <c r="G6" s="9" t="inlineStr">
        <is>
          <t>Not Started</t>
        </is>
      </c>
      <c r="H6" s="10" t="inlineStr">
        <is>
          <t>Phase 2 (Week 2-3)</t>
        </is>
      </c>
      <c r="I6" s="10" t="inlineStr">
        <is>
          <t>No</t>
        </is>
      </c>
      <c r="J6" s="10" t="inlineStr">
        <is>
          <t>No</t>
        </is>
      </c>
      <c r="K6" s="10" t="inlineStr">
        <is>
          <t>No</t>
        </is>
      </c>
      <c r="L6" s="7" t="inlineStr">
        <is>
          <t>Identify correct contact via GMLC network</t>
        </is>
      </c>
      <c r="M6" s="7" t="inlineStr">
        <is>
          <t>GMLC member lab. Strong in grid analytics and transmission modeling.</t>
        </is>
      </c>
      <c r="N6" s="24" t="n">
        <v>46141</v>
      </c>
      <c r="O6" s="12" t="inlineStr">
        <is>
          <t>DataCenterConsulting.org</t>
        </is>
      </c>
    </row>
    <row r="7" ht="60" customHeight="1">
      <c r="A7" s="15" t="inlineStr">
        <is>
          <t>MV AI-UPS Vendors</t>
        </is>
      </c>
      <c r="B7" s="7" t="inlineStr">
        <is>
          <t>ON.energy — Data Center Division</t>
        </is>
      </c>
      <c r="C7" s="7" t="inlineStr">
        <is>
          <t>Dax Kepshire (President DC Division)</t>
        </is>
      </c>
      <c r="D7" s="7" t="inlineStr">
        <is>
          <t>TBD</t>
        </is>
      </c>
      <c r="E7" s="7" t="inlineStr">
        <is>
          <t>TBD</t>
        </is>
      </c>
      <c r="F7" s="8" t="inlineStr">
        <is>
          <t>High</t>
        </is>
      </c>
      <c r="G7" s="9" t="inlineStr">
        <is>
          <t>Not Started</t>
        </is>
      </c>
      <c r="H7" s="10" t="inlineStr">
        <is>
          <t>Phase 3 (Week 3-4)</t>
        </is>
      </c>
      <c r="I7" s="10" t="inlineStr">
        <is>
          <t>No</t>
        </is>
      </c>
      <c r="J7" s="10" t="inlineStr">
        <is>
          <t>No</t>
        </is>
      </c>
      <c r="K7" s="10" t="inlineStr">
        <is>
          <t>No</t>
        </is>
      </c>
      <c r="L7" s="7" t="inlineStr">
        <is>
          <t>Send introductory letter and request evaluation partnership call</t>
        </is>
      </c>
      <c r="M7" s="7" t="inlineStr">
        <is>
          <t>AI UPS 3.2MW/module; patent-pending; MV; validated at NLR ARIES/Flatirons. Deployed with hyperscalers. Co-develop case study opportunity.</t>
        </is>
      </c>
      <c r="N7" s="24" t="n">
        <v>46141</v>
      </c>
      <c r="O7" s="12" t="inlineStr">
        <is>
          <t>DataCenterConsulting.org</t>
        </is>
      </c>
    </row>
    <row r="8" ht="60" customHeight="1">
      <c r="A8" s="15" t="inlineStr">
        <is>
          <t>MV AI-UPS Vendors</t>
        </is>
      </c>
      <c r="B8" s="7" t="inlineStr">
        <is>
          <t>Eaton — Data Center Segment</t>
        </is>
      </c>
      <c r="C8" s="7" t="inlineStr">
        <is>
          <t>JP Buzzell (VP / Chief Data Center Architect)</t>
        </is>
      </c>
      <c r="D8" s="7" t="inlineStr">
        <is>
          <t>TBD</t>
        </is>
      </c>
      <c r="E8" s="7" t="inlineStr">
        <is>
          <t>TBD</t>
        </is>
      </c>
      <c r="F8" s="8" t="inlineStr">
        <is>
          <t>High</t>
        </is>
      </c>
      <c r="G8" s="9" t="inlineStr">
        <is>
          <t>Not Started</t>
        </is>
      </c>
      <c r="H8" s="10" t="inlineStr">
        <is>
          <t>Phase 3 (Week 3-4)</t>
        </is>
      </c>
      <c r="I8" s="10" t="inlineStr">
        <is>
          <t>No</t>
        </is>
      </c>
      <c r="J8" s="10" t="inlineStr">
        <is>
          <t>No</t>
        </is>
      </c>
      <c r="K8" s="10" t="inlineStr">
        <is>
          <t>No</t>
        </is>
      </c>
      <c r="L8" s="7" t="inlineStr">
        <is>
          <t>Send introductory letter referencing PXQ SSO detection</t>
        </is>
      </c>
      <c r="M8" s="7" t="inlineStr">
        <is>
          <t>Grid-to-chip strategy. PXQ event analysis for SSO detection. Partnership with Siemens Energy. Fibrebond acquisition. Evaluate MV power quality solutions vs AI UPS architectures.</t>
        </is>
      </c>
      <c r="N8" s="24" t="n">
        <v>46141</v>
      </c>
      <c r="O8" s="12" t="inlineStr">
        <is>
          <t>DataCenterConsulting.org</t>
        </is>
      </c>
    </row>
    <row r="9" ht="60" customHeight="1">
      <c r="A9" s="16" t="inlineStr">
        <is>
          <t>Local Utility</t>
        </is>
      </c>
      <c r="B9" s="7" t="inlineStr">
        <is>
          <t>Local Utility — Interconnection Planning (placeholder)</t>
        </is>
      </c>
      <c r="C9" s="7" t="inlineStr">
        <is>
          <t>Director of Large Customer Services (TBD)</t>
        </is>
      </c>
      <c r="D9" s="7" t="inlineStr">
        <is>
          <t>TBD</t>
        </is>
      </c>
      <c r="E9" s="7" t="inlineStr">
        <is>
          <t>TBD</t>
        </is>
      </c>
      <c r="F9" s="14" t="inlineStr">
        <is>
          <t>Medium</t>
        </is>
      </c>
      <c r="G9" s="9" t="inlineStr">
        <is>
          <t>Not Started</t>
        </is>
      </c>
      <c r="H9" s="10" t="inlineStr">
        <is>
          <t>Phase 5 (Week 5-7)</t>
        </is>
      </c>
      <c r="I9" s="10" t="inlineStr">
        <is>
          <t>No</t>
        </is>
      </c>
      <c r="J9" s="10" t="inlineStr">
        <is>
          <t>No</t>
        </is>
      </c>
      <c r="K9" s="10" t="inlineStr">
        <is>
          <t>No</t>
        </is>
      </c>
      <c r="L9" s="7" t="inlineStr">
        <is>
          <t>Identify correct utility and contact based on builder site location</t>
        </is>
      </c>
      <c r="M9" s="7" t="inlineStr">
        <is>
          <t>Approach with full package after DOE/lab/vendor context established. Emphasize grid-safe architecture as utility benefit. Reference SPARK alignment.</t>
        </is>
      </c>
      <c r="N9" s="24" t="n">
        <v>46141</v>
      </c>
      <c r="O9" s="12" t="inlineStr">
        <is>
          <t>DataCenterConsulting.org</t>
        </is>
      </c>
    </row>
    <row r="10" ht="60" customHeight="1">
      <c r="A10" s="66" t="inlineStr">
        <is>
          <t>Retained Builder Client</t>
        </is>
      </c>
      <c r="B10" s="7" t="inlineStr">
        <is>
          <t>[Builder Partner — Name]</t>
        </is>
      </c>
      <c r="C10" s="7" t="inlineStr">
        <is>
          <t>[Primary Contact]</t>
        </is>
      </c>
      <c r="D10" s="7" t="inlineStr">
        <is>
          <t>TBD</t>
        </is>
      </c>
      <c r="E10" s="7" t="inlineStr">
        <is>
          <t>TBD</t>
        </is>
      </c>
      <c r="F10" s="67" t="inlineStr">
        <is>
          <t>Critical</t>
        </is>
      </c>
      <c r="G10" s="68" t="inlineStr">
        <is>
          <t>In Progress</t>
        </is>
      </c>
      <c r="H10" s="10" t="inlineStr">
        <is>
          <t>Phase 1 (Week 1-2)</t>
        </is>
      </c>
      <c r="I10" s="10" t="inlineStr">
        <is>
          <t>N/A</t>
        </is>
      </c>
      <c r="J10" s="10" t="inlineStr">
        <is>
          <t>N/A</t>
        </is>
      </c>
      <c r="K10" s="10" t="inlineStr">
        <is>
          <t>Yes</t>
        </is>
      </c>
      <c r="L10" s="7" t="inlineStr">
        <is>
          <t>Finalize site specs; review NDA templates; approve outreach messaging</t>
        </is>
      </c>
      <c r="M10" s="7" t="inlineStr">
        <is>
          <t>Internal alignment is prerequisite for all external outreach. Needs to provide: site location; power requirements; timeline; campus master plan; technical specs for interconnection.</t>
        </is>
      </c>
      <c r="N10" s="24" t="n">
        <v>46141</v>
      </c>
      <c r="O10" s="12" t="inlineStr">
        <is>
          <t>DataCenterConsulting.org</t>
        </is>
      </c>
    </row>
    <row r="11" ht="60" customHeight="1">
      <c r="A11" s="69" t="inlineStr">
        <is>
          <t>Landowners / Property Owners</t>
        </is>
      </c>
      <c r="B11" s="7" t="inlineStr">
        <is>
          <t>[Landowner Name — Power-Adjacent Property]</t>
        </is>
      </c>
      <c r="C11" s="7" t="inlineStr">
        <is>
          <t>[Property Owner]</t>
        </is>
      </c>
      <c r="D11" s="7" t="inlineStr">
        <is>
          <t>TBD</t>
        </is>
      </c>
      <c r="E11" s="7" t="inlineStr">
        <is>
          <t>TBD</t>
        </is>
      </c>
      <c r="F11" s="8" t="inlineStr">
        <is>
          <t>High</t>
        </is>
      </c>
      <c r="G11" s="9" t="inlineStr">
        <is>
          <t>Not Started</t>
        </is>
      </c>
      <c r="H11" s="10" t="inlineStr">
        <is>
          <t>Phase 1b (Week 1-2)</t>
        </is>
      </c>
      <c r="I11" s="10" t="inlineStr">
        <is>
          <t>No</t>
        </is>
      </c>
      <c r="J11" s="10" t="inlineStr">
        <is>
          <t>No</t>
        </is>
      </c>
      <c r="K11" s="10" t="inlineStr">
        <is>
          <t>No</t>
        </is>
      </c>
      <c r="L11" s="7" t="inlineStr">
        <is>
          <t>Launch land-data capture platform; begin collecting property submissions</t>
        </is>
      </c>
      <c r="M11" s="7" t="inlineStr">
        <is>
          <t>Platform captures objective data (acreage, zoning, distance to substation/transmission, infrastructure, road access, water, environmental status) and subjective data (timeline, price expectations, sell vs. lease preference). Target properties near grid substations, power plants, hydro, nuclear. Land values $15k-$50k/acre vs traditional $10-$15k/acre.</t>
        </is>
      </c>
      <c r="N11" s="24" t="n">
        <v>46141</v>
      </c>
      <c r="O11" s="12" t="inlineStr">
        <is>
          <t>DataCenterConsulting.org</t>
        </is>
      </c>
    </row>
    <row r="12" ht="60" customHeight="1">
      <c r="A12" s="70" t="inlineStr">
        <is>
          <t>Municipal / Local Government</t>
        </is>
      </c>
      <c r="B12" s="7" t="inlineStr">
        <is>
          <t>City of [City] — Mayor's Office</t>
        </is>
      </c>
      <c r="C12" s="7" t="inlineStr">
        <is>
          <t>The Honorable [Mayor Name]</t>
        </is>
      </c>
      <c r="D12" s="7" t="inlineStr">
        <is>
          <t>TBD</t>
        </is>
      </c>
      <c r="E12" s="7" t="inlineStr">
        <is>
          <t>TBD</t>
        </is>
      </c>
      <c r="F12" s="8" t="inlineStr">
        <is>
          <t>High</t>
        </is>
      </c>
      <c r="G12" s="9" t="inlineStr">
        <is>
          <t>Not Started</t>
        </is>
      </c>
      <c r="H12" s="10" t="inlineStr">
        <is>
          <t>Phase 5 (Week 5-7)</t>
        </is>
      </c>
      <c r="I12" s="10" t="inlineStr">
        <is>
          <t>No</t>
        </is>
      </c>
      <c r="J12" s="10" t="inlineStr">
        <is>
          <t>No</t>
        </is>
      </c>
      <c r="K12" s="10" t="inlineStr">
        <is>
          <t>No</t>
        </is>
      </c>
      <c r="L12" s="7" t="inlineStr">
        <is>
          <t>Identify target municipality based on site location; request meeting with mayor and economic development staff</t>
        </is>
      </c>
      <c r="M12" s="7" t="inlineStr">
        <is>
          <t>Frame as economic development opportunity: jobs, tax base, infrastructure investment, DOE SPARK alignment. Address concerns proactively: grid-safe architecture, water minimization, noise mitigation. Community benefit agreements.</t>
        </is>
      </c>
      <c r="N12" s="24" t="n">
        <v>46141</v>
      </c>
      <c r="O12" s="12" t="inlineStr">
        <is>
          <t>DataCenterConsulting.org</t>
        </is>
      </c>
    </row>
    <row r="13" ht="60" customHeight="1">
      <c r="A13" s="70" t="inlineStr">
        <is>
          <t>Municipal / Local Government</t>
        </is>
      </c>
      <c r="B13" s="7" t="inlineStr">
        <is>
          <t>[City] — Planning and Zoning Department</t>
        </is>
      </c>
      <c r="C13" s="7" t="inlineStr">
        <is>
          <t>Director of Planning (TBD)</t>
        </is>
      </c>
      <c r="D13" s="7" t="inlineStr">
        <is>
          <t>TBD</t>
        </is>
      </c>
      <c r="E13" s="7" t="inlineStr">
        <is>
          <t>TBD</t>
        </is>
      </c>
      <c r="F13" s="14" t="inlineStr">
        <is>
          <t>Medium</t>
        </is>
      </c>
      <c r="G13" s="9" t="inlineStr">
        <is>
          <t>Not Started</t>
        </is>
      </c>
      <c r="H13" s="10" t="inlineStr">
        <is>
          <t>Phase 5 (Week 5-7)</t>
        </is>
      </c>
      <c r="I13" s="10" t="inlineStr">
        <is>
          <t>No</t>
        </is>
      </c>
      <c r="J13" s="10" t="inlineStr">
        <is>
          <t>No</t>
        </is>
      </c>
      <c r="K13" s="10" t="inlineStr">
        <is>
          <t>No</t>
        </is>
      </c>
      <c r="L13" s="7" t="inlineStr">
        <is>
          <t>Request pre-application conference for data center campus zoning</t>
        </is>
      </c>
      <c r="M13" s="7" t="inlineStr">
        <is>
          <t>Understand zoning requirements, conditional use permits, setback requirements, noise ordinances. Engage early to avoid surprises.</t>
        </is>
      </c>
      <c r="N13" s="24" t="n">
        <v>46141</v>
      </c>
      <c r="O13" s="12" t="inlineStr">
        <is>
          <t>DataCenterConsulting.org</t>
        </is>
      </c>
    </row>
    <row r="14" ht="60" customHeight="1">
      <c r="A14" s="71" t="inlineStr">
        <is>
          <t>Finance / Capital Partners</t>
        </is>
      </c>
      <c r="B14" s="7" t="inlineStr">
        <is>
          <t>[Infrastructure Fund / REIT / Project Finance Bank]</t>
        </is>
      </c>
      <c r="C14" s="7" t="inlineStr">
        <is>
          <t>Managing Director, Infrastructure Investments (TBD)</t>
        </is>
      </c>
      <c r="D14" s="7" t="inlineStr">
        <is>
          <t>TBD</t>
        </is>
      </c>
      <c r="E14" s="7" t="inlineStr">
        <is>
          <t>TBD</t>
        </is>
      </c>
      <c r="F14" s="8" t="inlineStr">
        <is>
          <t>High</t>
        </is>
      </c>
      <c r="G14" s="9" t="inlineStr">
        <is>
          <t>Not Started</t>
        </is>
      </c>
      <c r="H14" s="10" t="inlineStr">
        <is>
          <t>Phase 6 (Week 6-8)</t>
        </is>
      </c>
      <c r="I14" s="10" t="inlineStr">
        <is>
          <t>No</t>
        </is>
      </c>
      <c r="J14" s="10" t="inlineStr">
        <is>
          <t>No</t>
        </is>
      </c>
      <c r="K14" s="10" t="inlineStr">
        <is>
          <t>No</t>
        </is>
      </c>
      <c r="L14" s="7" t="inlineStr">
        <is>
          <t>Prepare investment thesis deck; approach with full validation package (DOE + lab + vendor)</t>
        </is>
      </c>
      <c r="M14" s="7" t="inlineStr">
        <is>
          <t>Investment thesis: AI compute demand growing faster than grid capacity creates premium for validated grid-safe campuses. DataCenterConsulting.org de-risks via independent technical validation, vendor-neutral evaluation, utility advisory, and proprietary land-data registry. Also consider DOE Loan Programs Office (LPO).</t>
        </is>
      </c>
      <c r="N14" s="24" t="n">
        <v>46141</v>
      </c>
      <c r="O14" s="12" t="inlineStr">
        <is>
          <t>DataCenterConsulting.org</t>
        </is>
      </c>
    </row>
    <row r="15" ht="60" customHeight="1">
      <c r="A15" s="72" t="inlineStr">
        <is>
          <t>AI / Compute Demand Partners</t>
        </is>
      </c>
      <c r="B15" s="7" t="inlineStr">
        <is>
          <t>[Hyperscaler / AI Company] — Infrastructure Team</t>
        </is>
      </c>
      <c r="C15" s="7" t="inlineStr">
        <is>
          <t>VP of Infrastructure / DC Strategy (TBD)</t>
        </is>
      </c>
      <c r="D15" s="7" t="inlineStr">
        <is>
          <t>TBD</t>
        </is>
      </c>
      <c r="E15" s="7" t="inlineStr">
        <is>
          <t>TBD</t>
        </is>
      </c>
      <c r="F15" s="14" t="inlineStr">
        <is>
          <t>Medium</t>
        </is>
      </c>
      <c r="G15" s="9" t="inlineStr">
        <is>
          <t>Not Started</t>
        </is>
      </c>
      <c r="H15" s="10" t="inlineStr">
        <is>
          <t>Phase 7 (Week 7-9)</t>
        </is>
      </c>
      <c r="I15" s="10" t="inlineStr">
        <is>
          <t>No</t>
        </is>
      </c>
      <c r="J15" s="10" t="inlineStr">
        <is>
          <t>No</t>
        </is>
      </c>
      <c r="K15" s="10" t="inlineStr">
        <is>
          <t>No</t>
        </is>
      </c>
      <c r="L15" s="7" t="inlineStr">
        <is>
          <t>Approach with validated campus concept; propose informational exchange on compute requirements</t>
        </is>
      </c>
      <c r="M15" s="7" t="inlineStr">
        <is>
          <t>Tenants benefit from superior power quality (reduced GPU transient impact), higher availability (grid-safe ride-through), and accelerated interconnection. Understand their minimum power quality specs, deployment timeline pressure, and site evaluation criteria.</t>
        </is>
      </c>
      <c r="N15" s="24" t="n">
        <v>46141</v>
      </c>
      <c r="O15" s="12" t="inlineStr">
        <is>
          <t>DataCenterConsulting.org</t>
        </is>
      </c>
    </row>
    <row r="16" ht="60" customHeight="1">
      <c r="A16" s="6" t="inlineStr">
        <is>
          <t>State Government / Economic Development</t>
        </is>
      </c>
      <c r="B16" s="7" t="inlineStr">
        <is>
          <t>State of [State] — Office of Economic Development</t>
        </is>
      </c>
      <c r="C16" s="7" t="inlineStr">
        <is>
          <t>Director / Secretary of Commerce (TBD)</t>
        </is>
      </c>
      <c r="D16" s="7" t="inlineStr">
        <is>
          <t>TBD</t>
        </is>
      </c>
      <c r="E16" s="7" t="inlineStr">
        <is>
          <t>TBD</t>
        </is>
      </c>
      <c r="F16" s="14" t="inlineStr">
        <is>
          <t>Medium</t>
        </is>
      </c>
      <c r="G16" s="9" t="inlineStr">
        <is>
          <t>Not Started</t>
        </is>
      </c>
      <c r="H16" s="10" t="inlineStr">
        <is>
          <t>Phase 4 (Week 4-6)</t>
        </is>
      </c>
      <c r="I16" s="10" t="inlineStr">
        <is>
          <t>No</t>
        </is>
      </c>
      <c r="J16" s="10" t="inlineStr">
        <is>
          <t>No</t>
        </is>
      </c>
      <c r="K16" s="10" t="inlineStr">
        <is>
          <t>No</t>
        </is>
      </c>
      <c r="L16" s="7" t="inlineStr">
        <is>
          <t>Research available state incentives; request meeting with economic development staff</t>
        </is>
      </c>
      <c r="M16" s="7" t="inlineStr">
        <is>
          <t>Value prop: high-value construction + permanent ops jobs, property/sales tax revenue, federal funding alignment (SPARK/GRIP), state competitiveness for AI infrastructure. Inquire about tax abatements, enterprise zones, workforce grants, infrastructure programs.</t>
        </is>
      </c>
      <c r="N16" s="24" t="n">
        <v>46141</v>
      </c>
      <c r="O16" s="12" t="inlineStr">
        <is>
          <t>DataCenterConsulting.org</t>
        </is>
      </c>
    </row>
    <row r="17" ht="60" customHeight="1">
      <c r="A17" s="15" t="inlineStr">
        <is>
          <t>Environmental / Regulatory</t>
        </is>
      </c>
      <c r="B17" s="7" t="inlineStr">
        <is>
          <t>[State Environmental Agency] / EPA Regional Office</t>
        </is>
      </c>
      <c r="C17" s="7" t="inlineStr">
        <is>
          <t>Director / Regional Administrator (TBD)</t>
        </is>
      </c>
      <c r="D17" s="7" t="inlineStr">
        <is>
          <t>TBD</t>
        </is>
      </c>
      <c r="E17" s="7" t="inlineStr">
        <is>
          <t>TBD</t>
        </is>
      </c>
      <c r="F17" s="14" t="inlineStr">
        <is>
          <t>Medium</t>
        </is>
      </c>
      <c r="G17" s="9" t="inlineStr">
        <is>
          <t>Not Started</t>
        </is>
      </c>
      <c r="H17" s="10" t="inlineStr">
        <is>
          <t>Phase 8 (Week 6-10)</t>
        </is>
      </c>
      <c r="I17" s="10" t="inlineStr">
        <is>
          <t>No</t>
        </is>
      </c>
      <c r="J17" s="10" t="inlineStr">
        <is>
          <t>No</t>
        </is>
      </c>
      <c r="K17" s="10" t="inlineStr">
        <is>
          <t>No</t>
        </is>
      </c>
      <c r="L17" s="7" t="inlineStr">
        <is>
          <t>Identify correct agency and contact; request informational meeting on environmental review process</t>
        </is>
      </c>
      <c r="M17" s="7" t="inlineStr">
        <is>
          <t>Proactive engagement, not reactive compliance. Grid-safe architecture reduces grid strain (supports clean energy). Modern cooling minimizes water. Site selection avoids sensitive areas. Full NEPA compliance where applicable. Understand state environmental review timeline and water usage thresholds.</t>
        </is>
      </c>
      <c r="N17" s="24" t="n">
        <v>46141</v>
      </c>
      <c r="O17" s="12" t="inlineStr">
        <is>
          <t>DataCenterConsulting.org</t>
        </is>
      </c>
    </row>
    <row r="18" ht="60" customHeight="1">
      <c r="A18" s="73" t="inlineStr">
        <is>
          <t>Media / Industry Press</t>
        </is>
      </c>
      <c r="B18" s="7" t="inlineStr">
        <is>
          <t>[Publication — e.g., Data Center Knowledge, Utility Dive, Uptime Institute]</t>
        </is>
      </c>
      <c r="C18" s="7" t="inlineStr">
        <is>
          <t>Editor / Senior Reporter (TBD)</t>
        </is>
      </c>
      <c r="D18" s="7" t="inlineStr">
        <is>
          <t>TBD</t>
        </is>
      </c>
      <c r="E18" s="7" t="inlineStr">
        <is>
          <t>TBD</t>
        </is>
      </c>
      <c r="F18" s="54" t="inlineStr">
        <is>
          <t>Low</t>
        </is>
      </c>
      <c r="G18" s="9" t="inlineStr">
        <is>
          <t>Not Started</t>
        </is>
      </c>
      <c r="H18" s="10" t="inlineStr">
        <is>
          <t>Phase 9 (Week 8-12)</t>
        </is>
      </c>
      <c r="I18" s="10" t="inlineStr">
        <is>
          <t>No</t>
        </is>
      </c>
      <c r="J18" s="10" t="inlineStr">
        <is>
          <t>No</t>
        </is>
      </c>
      <c r="K18" s="10" t="inlineStr">
        <is>
          <t>No</t>
        </is>
      </c>
      <c r="L18" s="7" t="inlineStr">
        <is>
          <t>Identify key reporters covering DC power and grid resilience; offer background briefing</t>
        </is>
      </c>
      <c r="M18" s="7" t="inlineStr">
        <is>
          <t>Offer Sonny Saggar, MD as expert source for AI power demand + grid resilience stories. Propose not-for-attribution background briefing initially. White paper "Grid-Safe AI Compute" as potential exclusive. Do NOT ask for coverage — offer value (expert access, data, analysis).</t>
        </is>
      </c>
      <c r="N18" s="24" t="n">
        <v>46141</v>
      </c>
      <c r="O18" s="12" t="inlineStr">
        <is>
          <t>DataCenterConsulting.org</t>
        </is>
      </c>
    </row>
    <row r="19" ht="60" customHeight="1">
      <c r="A19" s="16" t="inlineStr">
        <is>
          <t>Community / Public Affairs</t>
        </is>
      </c>
      <c r="B19" s="7" t="inlineStr">
        <is>
          <t>[Community Organization / Civic Association / Neighborhood Council]</t>
        </is>
      </c>
      <c r="C19" s="7" t="inlineStr">
        <is>
          <t>[Community Leader / President]</t>
        </is>
      </c>
      <c r="D19" s="7" t="inlineStr">
        <is>
          <t>TBD</t>
        </is>
      </c>
      <c r="E19" s="7" t="inlineStr">
        <is>
          <t>TBD</t>
        </is>
      </c>
      <c r="F19" s="14" t="inlineStr">
        <is>
          <t>Medium</t>
        </is>
      </c>
      <c r="G19" s="9" t="inlineStr">
        <is>
          <t>Not Started</t>
        </is>
      </c>
      <c r="H19" s="10" t="inlineStr">
        <is>
          <t>Phase 10 (Week 8-12)</t>
        </is>
      </c>
      <c r="I19" s="10" t="inlineStr">
        <is>
          <t>No</t>
        </is>
      </c>
      <c r="J19" s="10" t="inlineStr">
        <is>
          <t>No</t>
        </is>
      </c>
      <c r="K19" s="10" t="inlineStr">
        <is>
          <t>No</t>
        </is>
      </c>
      <c r="L19" s="7" t="inlineStr">
        <is>
          <t>Identify community stakeholders near target site; offer informational session or town hall participation</t>
        </is>
      </c>
      <c r="M19" s="7" t="inlineStr">
        <is>
          <t>Acknowledge legitimate concerns: noise, traffic, water, visual impact, property values. Address each with grid-safe design mitigations. Emphasize community benefits: local jobs, infrastructure investment, tax revenue, community benefit agreements. Listen more than talk.</t>
        </is>
      </c>
      <c r="N19" s="24" t="n">
        <v>46141</v>
      </c>
      <c r="O19" s="12" t="inlineStr">
        <is>
          <t>DataCenterConsulting.org</t>
        </is>
      </c>
    </row>
    <row r="20" ht="60" customHeight="1">
      <c r="A20" s="17" t="inlineStr">
        <is>
          <t>Industry Associations / Standards Bodies</t>
        </is>
      </c>
      <c r="B20" s="18" t="inlineStr">
        <is>
          <t>[Data Center Coalition / ASHRAE TC 9.9 / IEEE PES / Uptime Institute]</t>
        </is>
      </c>
      <c r="C20" s="18" t="inlineStr">
        <is>
          <t>Executive Director / Membership Committee (TBD)</t>
        </is>
      </c>
      <c r="D20" s="18" t="inlineStr">
        <is>
          <t>TBD</t>
        </is>
      </c>
      <c r="E20" s="18" t="inlineStr">
        <is>
          <t>TBD</t>
        </is>
      </c>
      <c r="F20" s="60" t="inlineStr">
        <is>
          <t>Low</t>
        </is>
      </c>
      <c r="G20" s="74" t="inlineStr">
        <is>
          <t>Not Started</t>
        </is>
      </c>
      <c r="H20" s="21" t="inlineStr">
        <is>
          <t>Phase 9 (Week 8-12)</t>
        </is>
      </c>
      <c r="I20" s="21" t="inlineStr">
        <is>
          <t>No</t>
        </is>
      </c>
      <c r="J20" s="21" t="inlineStr">
        <is>
          <t>No</t>
        </is>
      </c>
      <c r="K20" s="21" t="inlineStr">
        <is>
          <t>No</t>
        </is>
      </c>
      <c r="L20" s="18" t="inlineStr">
        <is>
          <t>Apply for membership; identify relevant working groups; propose research contribution</t>
        </is>
      </c>
      <c r="M20" s="18" t="inlineStr">
        <is>
          <t>Participate in IEEE 1547 revisions, ASHRAE thermal guidelines for AI workloads, DC power architecture standards. Contribute research from national lab validation. Frame as industry advancement, not self-promotion.</t>
        </is>
      </c>
      <c r="N20" s="25" t="n">
        <v>46141</v>
      </c>
      <c r="O20" s="23" t="inlineStr">
        <is>
          <t>DataCenterConsulting.org</t>
        </is>
      </c>
    </row>
  </sheetData>
  <mergeCells count="2">
    <mergeCell ref="A1:O1"/>
    <mergeCell ref="A2:O2"/>
  </mergeCells>
  <dataValidations count="3">
    <dataValidation sqref="F4:F100" showDropDown="0" showInputMessage="0" showErrorMessage="0" allowBlank="1" type="list">
      <formula1>"Critical,High,Medium,Low"</formula1>
    </dataValidation>
    <dataValidation sqref="G4:G100" showDropDown="0" showInputMessage="0" showErrorMessage="0" allowBlank="1" type="list">
      <formula1>"Not Started,In Progress,Complete,On Hold"</formula1>
    </dataValidation>
    <dataValidation sqref="I4:K100" showDropDown="0" showInputMessage="0" showErrorMessage="0" allowBlank="1" type="list">
      <formula1>"Yes,No,N/A"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cols>
    <col width="18" customWidth="1" min="1" max="1"/>
    <col width="10" customWidth="1" min="2" max="2"/>
    <col width="12" customWidth="1" min="3" max="3"/>
    <col width="3" customWidth="1" min="4" max="4"/>
    <col width="32" customWidth="1" min="5" max="5"/>
    <col width="14" customWidth="1" min="6" max="6"/>
    <col width="14" customWidth="1" min="7" max="7"/>
    <col width="36" customWidth="1" min="8" max="8"/>
  </cols>
  <sheetData>
    <row r="1" ht="30" customHeight="1">
      <c r="A1" s="26" t="inlineStr">
        <is>
          <t>Campaign Dashboard — DataCenterConsulting.org (14 Stakeholder Categories)</t>
        </is>
      </c>
    </row>
    <row r="2" ht="22" customHeight="1">
      <c r="A2" s="2" t="inlineStr">
        <is>
          <t>Stakeholder Outreach Summary &amp; Key Dates</t>
        </is>
      </c>
    </row>
    <row r="3"/>
    <row r="4">
      <c r="A4" s="27" t="inlineStr">
        <is>
          <t>OVERVIEW METRICS</t>
        </is>
      </c>
      <c r="B4" s="65" t="n"/>
      <c r="C4" s="65" t="n"/>
      <c r="E4" s="75" t="inlineStr">
        <is>
          <t>OUTREACH PHASE TIMELINE</t>
        </is>
      </c>
      <c r="F4" s="76" t="n"/>
      <c r="G4" s="76" t="n"/>
      <c r="H4" s="77" t="n"/>
    </row>
    <row r="5">
      <c r="A5" s="29" t="inlineStr">
        <is>
          <t>Metric</t>
        </is>
      </c>
      <c r="B5" s="30" t="inlineStr">
        <is>
          <t>Count</t>
        </is>
      </c>
      <c r="C5" s="31" t="inlineStr">
        <is>
          <t>% of Total</t>
        </is>
      </c>
      <c r="E5" s="78" t="inlineStr">
        <is>
          <t>Phase</t>
        </is>
      </c>
      <c r="F5" s="79" t="inlineStr">
        <is>
          <t>Timeline</t>
        </is>
      </c>
      <c r="G5" s="79" t="inlineStr">
        <is>
          <t>Entities</t>
        </is>
      </c>
      <c r="H5" s="80" t="inlineStr">
        <is>
          <t>Status</t>
        </is>
      </c>
    </row>
    <row r="6">
      <c r="A6" s="32" t="inlineStr">
        <is>
          <t>Total Entities</t>
        </is>
      </c>
      <c r="B6" s="10">
        <f>COUNTA('Outreach Tracker'!B4:B100)</f>
        <v/>
      </c>
      <c r="C6" s="33" t="inlineStr"/>
      <c r="E6" s="34" t="inlineStr">
        <is>
          <t>Phase 1 — Internal Alignment</t>
        </is>
      </c>
      <c r="F6" s="10" t="inlineStr">
        <is>
          <t>Week 1-2</t>
        </is>
      </c>
      <c r="G6" s="10">
        <f>COUNTIF('Outreach Tracker'!H$4:H$100,"Phase 1*")</f>
        <v/>
      </c>
      <c r="H6" s="35" t="inlineStr">
        <is>
          <t>Active</t>
        </is>
      </c>
    </row>
    <row r="7">
      <c r="A7" s="32" t="inlineStr">
        <is>
          <t>Letters Sent</t>
        </is>
      </c>
      <c r="B7" s="10">
        <f>COUNTIF('Outreach Tracker'!I4:I100,"Yes")</f>
        <v/>
      </c>
      <c r="C7" s="36">
        <f>IF(B6=0,0,B7/B6)</f>
        <v/>
      </c>
      <c r="E7" s="34" t="inlineStr">
        <is>
          <t>Phase 1b — Landowner Platform</t>
        </is>
      </c>
      <c r="F7" s="10" t="inlineStr">
        <is>
          <t>Week 1-2</t>
        </is>
      </c>
      <c r="G7" s="10">
        <f>COUNTIF('Outreach Tracker'!H$4:H$100,"Phase 1b*")</f>
        <v/>
      </c>
      <c r="H7" s="35" t="inlineStr">
        <is>
          <t>Upcoming</t>
        </is>
      </c>
    </row>
    <row r="8">
      <c r="A8" s="32" t="inlineStr">
        <is>
          <t>Emails Sent</t>
        </is>
      </c>
      <c r="B8" s="10">
        <f>COUNTIF('Outreach Tracker'!J4:J100,"Yes")</f>
        <v/>
      </c>
      <c r="C8" s="36">
        <f>IF(B6=0,0,B8/B6)</f>
        <v/>
      </c>
      <c r="E8" s="38" t="inlineStr">
        <is>
          <t>Phase 2 — National Labs</t>
        </is>
      </c>
      <c r="F8" s="10" t="inlineStr">
        <is>
          <t>Week 2-3</t>
        </is>
      </c>
      <c r="G8" s="10">
        <f>COUNTIF('Outreach Tracker'!H$4:H$100,"Phase 2*")</f>
        <v/>
      </c>
      <c r="H8" s="35" t="inlineStr">
        <is>
          <t>Upcoming</t>
        </is>
      </c>
    </row>
    <row r="9">
      <c r="A9" s="39" t="inlineStr">
        <is>
          <t>Meetings Scheduled</t>
        </is>
      </c>
      <c r="B9" s="21">
        <f>COUNTIF('Outreach Tracker'!K4:K100,"Yes")</f>
        <v/>
      </c>
      <c r="C9" s="40">
        <f>IF(B6=0,0,B9/B6)</f>
        <v/>
      </c>
      <c r="E9" s="41" t="inlineStr">
        <is>
          <t>Phase 3 — MV AI-UPS Vendors</t>
        </is>
      </c>
      <c r="F9" s="10" t="inlineStr">
        <is>
          <t>Week 3-4</t>
        </is>
      </c>
      <c r="G9" s="10">
        <f>COUNTIF('Outreach Tracker'!H$4:H$100,"Phase 3*")</f>
        <v/>
      </c>
      <c r="H9" s="35" t="inlineStr">
        <is>
          <t>Upcoming</t>
        </is>
      </c>
    </row>
    <row r="10">
      <c r="E10" s="62" t="inlineStr">
        <is>
          <t>Phase 4 — Federal / DOE</t>
        </is>
      </c>
      <c r="F10" s="10" t="inlineStr">
        <is>
          <t>Week 4-6</t>
        </is>
      </c>
      <c r="G10" s="10">
        <f>COUNTIF('Outreach Tracker'!H$4:H$100,"Phase 4*")</f>
        <v/>
      </c>
      <c r="H10" s="35" t="inlineStr">
        <is>
          <t>Upcoming</t>
        </is>
      </c>
    </row>
    <row r="11">
      <c r="A11" s="27" t="n"/>
      <c r="E11" s="32" t="inlineStr">
        <is>
          <t>Phase 5 — Local Utility + Municipal</t>
        </is>
      </c>
      <c r="F11" s="10" t="inlineStr">
        <is>
          <t>Week 5-7</t>
        </is>
      </c>
      <c r="G11" s="10">
        <f>COUNTIF('Outreach Tracker'!H$4:H$100,"Phase 5*")</f>
        <v/>
      </c>
      <c r="H11" s="35" t="inlineStr">
        <is>
          <t>Upcoming</t>
        </is>
      </c>
    </row>
    <row r="12">
      <c r="A12" s="29" t="n"/>
      <c r="B12" s="30" t="n"/>
      <c r="C12" s="31" t="n"/>
      <c r="E12" s="81" t="inlineStr">
        <is>
          <t>Phase 6 — Finance/Capital</t>
        </is>
      </c>
      <c r="F12" s="10" t="inlineStr">
        <is>
          <t>Week 6-8</t>
        </is>
      </c>
      <c r="G12" s="10">
        <f>COUNTIF('Outreach Tracker'!H$4:H$100,"Phase 6*")</f>
        <v/>
      </c>
      <c r="H12" s="35" t="inlineStr">
        <is>
          <t>Upcoming</t>
        </is>
      </c>
    </row>
    <row r="13">
      <c r="A13" s="44" t="n"/>
      <c r="B13" s="10" t="n"/>
      <c r="C13" s="36" t="n"/>
      <c r="E13" s="82" t="inlineStr">
        <is>
          <t>Phase 7 — AI/Compute Demand</t>
        </is>
      </c>
      <c r="F13" s="79" t="inlineStr">
        <is>
          <t>Week 7-9</t>
        </is>
      </c>
      <c r="G13" s="79">
        <f>COUNTIF('Outreach Tracker'!H$4:H$100,"Phase 7*")</f>
        <v/>
      </c>
      <c r="H13" s="80" t="inlineStr">
        <is>
          <t>Upcoming</t>
        </is>
      </c>
    </row>
    <row r="14">
      <c r="A14" s="45" t="n"/>
      <c r="B14" s="10" t="n"/>
      <c r="C14" s="36" t="n"/>
      <c r="E14" s="83" t="inlineStr">
        <is>
          <t>Phase 8 — Environmental</t>
        </is>
      </c>
      <c r="F14" s="47" t="inlineStr">
        <is>
          <t>Week 6-10</t>
        </is>
      </c>
      <c r="G14" s="8">
        <f>COUNTIF('Outreach Tracker'!H$4:H$100,"Phase 8*")</f>
        <v/>
      </c>
      <c r="H14" s="35" t="inlineStr">
        <is>
          <t>Upcoming</t>
        </is>
      </c>
    </row>
    <row r="15">
      <c r="A15" s="49" t="n"/>
      <c r="B15" s="10" t="n"/>
      <c r="C15" s="36" t="n"/>
      <c r="E15" s="83" t="inlineStr">
        <is>
          <t>Phase 9 — Media + Associations</t>
        </is>
      </c>
      <c r="F15" s="47" t="inlineStr">
        <is>
          <t>Week 8-12</t>
        </is>
      </c>
      <c r="G15" s="14">
        <f>COUNTIF('Outreach Tracker'!H$4:H$100,"Phase 9*")</f>
        <v/>
      </c>
      <c r="H15" s="35" t="inlineStr">
        <is>
          <t>Upcoming</t>
        </is>
      </c>
    </row>
    <row r="16">
      <c r="A16" s="50" t="n"/>
      <c r="B16" s="21" t="n"/>
      <c r="C16" s="40" t="n"/>
      <c r="E16" s="84" t="inlineStr">
        <is>
          <t>Phase 10 — Community</t>
        </is>
      </c>
      <c r="F16" s="59" t="inlineStr">
        <is>
          <t>Week 8-12</t>
        </is>
      </c>
      <c r="G16" s="85">
        <f>COUNTIF('Outreach Tracker'!H$4:H$100,"Phase 10*")</f>
        <v/>
      </c>
      <c r="H16" s="43" t="inlineStr">
        <is>
          <t>Upcoming</t>
        </is>
      </c>
    </row>
    <row r="17">
      <c r="E17" s="46" t="n"/>
      <c r="F17" s="47" t="n"/>
      <c r="G17" s="51" t="n"/>
      <c r="H17" s="48" t="n"/>
    </row>
    <row r="18">
      <c r="A18" s="75" t="inlineStr">
        <is>
          <t>STATUS BREAKDOWN</t>
        </is>
      </c>
      <c r="B18" s="76" t="n"/>
      <c r="C18" s="77" t="n"/>
      <c r="E18" s="86" t="inlineStr">
        <is>
          <t>KEY DATES &amp; MILESTONES</t>
        </is>
      </c>
      <c r="F18" s="87" t="n"/>
      <c r="G18" s="87" t="n"/>
      <c r="H18" s="88" t="n"/>
    </row>
    <row r="19">
      <c r="A19" s="78" t="inlineStr">
        <is>
          <t>Status</t>
        </is>
      </c>
      <c r="B19" s="79" t="inlineStr">
        <is>
          <t>Count</t>
        </is>
      </c>
      <c r="C19" s="80" t="inlineStr">
        <is>
          <t>% of Total</t>
        </is>
      </c>
      <c r="E19" s="78" t="inlineStr">
        <is>
          <t>Milestone</t>
        </is>
      </c>
      <c r="F19" s="89" t="inlineStr">
        <is>
          <t>Date</t>
        </is>
      </c>
      <c r="G19" s="79" t="inlineStr">
        <is>
          <t>Status</t>
        </is>
      </c>
      <c r="H19" s="80" t="inlineStr">
        <is>
          <t>Notes</t>
        </is>
      </c>
    </row>
    <row r="20">
      <c r="A20" s="90" t="inlineStr">
        <is>
          <t>Not Started</t>
        </is>
      </c>
      <c r="B20" s="10">
        <f>COUNTIF('Outreach Tracker'!G$4:G$100,A20)</f>
        <v/>
      </c>
      <c r="C20" s="36">
        <f>IF(B$6=0,0,B20/B$6)</f>
        <v/>
      </c>
      <c r="E20" s="46" t="inlineStr">
        <is>
          <t>SPARK Concept Paper Deadline</t>
        </is>
      </c>
      <c r="F20" s="47" t="n">
        <v>46114</v>
      </c>
      <c r="G20" s="54" t="inlineStr">
        <is>
          <t>PASSED</t>
        </is>
      </c>
      <c r="H20" s="48" t="inlineStr">
        <is>
          <t>Deadline has passed</t>
        </is>
      </c>
    </row>
    <row r="21">
      <c r="A21" s="91" t="inlineStr">
        <is>
          <t>In Progress</t>
        </is>
      </c>
      <c r="B21" s="10">
        <f>COUNTIF('Outreach Tracker'!G$4:G$100,A21)</f>
        <v/>
      </c>
      <c r="C21" s="36">
        <f>IF(B$6=0,0,B21/B$6)</f>
        <v/>
      </c>
      <c r="E21" s="46" t="inlineStr">
        <is>
          <t>SPARK Full Application Deadline</t>
        </is>
      </c>
      <c r="F21" s="47" t="n">
        <v>46162</v>
      </c>
      <c r="G21" s="14" t="inlineStr">
        <is>
          <t>UPCOMING</t>
        </is>
      </c>
      <c r="H21" s="48" t="inlineStr">
        <is>
          <t>21 days remaining as of Apr 29</t>
        </is>
      </c>
    </row>
    <row r="22">
      <c r="A22" s="56" t="inlineStr">
        <is>
          <t>Complete</t>
        </is>
      </c>
      <c r="B22" s="10">
        <f>COUNTIF('Outreach Tracker'!G$4:G$100,A22)</f>
        <v/>
      </c>
      <c r="C22" s="36">
        <f>IF(B$6=0,0,B22/B$6)</f>
        <v/>
      </c>
      <c r="E22" s="46" t="inlineStr">
        <is>
          <t>SPARK Selection Notification</t>
        </is>
      </c>
      <c r="F22" s="47" t="n">
        <v>46235</v>
      </c>
      <c r="G22" s="51" t="inlineStr">
        <is>
          <t>FUTURE</t>
        </is>
      </c>
      <c r="H22" s="48" t="inlineStr">
        <is>
          <t>Estimated Aug 2026</t>
        </is>
      </c>
    </row>
    <row r="23">
      <c r="A23" s="57" t="inlineStr">
        <is>
          <t>On Hold</t>
        </is>
      </c>
      <c r="B23" s="21">
        <f>COUNTIF('Outreach Tracker'!G$4:G$100,A23)</f>
        <v/>
      </c>
      <c r="C23" s="40">
        <f>IF(B$6=0,0,B23/B$6)</f>
        <v/>
      </c>
      <c r="E23" s="46" t="inlineStr">
        <is>
          <t>SPARK Anticipated Award (Start)</t>
        </is>
      </c>
      <c r="F23" s="47" t="n">
        <v>46296</v>
      </c>
      <c r="G23" s="51" t="inlineStr">
        <is>
          <t>FUTURE</t>
        </is>
      </c>
      <c r="H23" s="48" t="inlineStr">
        <is>
          <t>Estimated Oct 2026</t>
        </is>
      </c>
    </row>
    <row r="24">
      <c r="E24" s="92" t="inlineStr">
        <is>
          <t>SPARK Anticipated Award (End)</t>
        </is>
      </c>
      <c r="F24" s="47" t="n">
        <v>46418</v>
      </c>
      <c r="G24" s="51" t="inlineStr">
        <is>
          <t>FUTURE</t>
        </is>
      </c>
      <c r="H24" s="33" t="inlineStr">
        <is>
          <t>Estimated Jan 2027</t>
        </is>
      </c>
    </row>
    <row r="25">
      <c r="A25" s="75" t="inlineStr">
        <is>
          <t>PRIORITY BREAKDOWN</t>
        </is>
      </c>
      <c r="B25" s="76" t="n"/>
      <c r="C25" s="77" t="n"/>
      <c r="E25" s="92" t="inlineStr">
        <is>
          <t>Phase 1 Target Completion</t>
        </is>
      </c>
      <c r="F25" s="47" t="n">
        <v>46155</v>
      </c>
      <c r="G25" s="52" t="inlineStr">
        <is>
          <t>IN PROGRESS</t>
        </is>
      </c>
      <c r="H25" s="33" t="inlineStr">
        <is>
          <t>Internal alignment with builder partner</t>
        </is>
      </c>
    </row>
    <row r="26">
      <c r="A26" s="78" t="inlineStr">
        <is>
          <t>Priority</t>
        </is>
      </c>
      <c r="B26" s="79" t="inlineStr">
        <is>
          <t>Count</t>
        </is>
      </c>
      <c r="C26" s="80" t="inlineStr">
        <is>
          <t>% of Total</t>
        </is>
      </c>
      <c r="E26" s="92" t="inlineStr">
        <is>
          <t>Phase 2 Target Start</t>
        </is>
      </c>
      <c r="F26" s="47" t="n">
        <v>46148</v>
      </c>
      <c r="G26" s="54" t="inlineStr">
        <is>
          <t>PLANNED</t>
        </is>
      </c>
      <c r="H26" s="33" t="inlineStr">
        <is>
          <t>National Labs outreach begins</t>
        </is>
      </c>
    </row>
    <row r="27">
      <c r="A27" s="53" t="inlineStr">
        <is>
          <t>Critical</t>
        </is>
      </c>
      <c r="B27" s="10">
        <f>COUNTIF('Outreach Tracker'!F$4:F$100,A27)</f>
        <v/>
      </c>
      <c r="C27" s="36">
        <f>IF(B$6=0,0,B27/B$6)</f>
        <v/>
      </c>
      <c r="E27" s="92" t="inlineStr">
        <is>
          <t>Phase 3 Target Start</t>
        </is>
      </c>
      <c r="F27" s="47" t="n">
        <v>46155</v>
      </c>
      <c r="G27" s="54" t="inlineStr">
        <is>
          <t>PLANNED</t>
        </is>
      </c>
      <c r="H27" s="33" t="inlineStr">
        <is>
          <t>Vendor outreach begins</t>
        </is>
      </c>
    </row>
    <row r="28">
      <c r="A28" s="55" t="inlineStr">
        <is>
          <t>High</t>
        </is>
      </c>
      <c r="B28" s="10">
        <f>COUNTIF('Outreach Tracker'!F$4:F$100,A28)</f>
        <v/>
      </c>
      <c r="C28" s="36">
        <f>IF(B$6=0,0,B28/B$6)</f>
        <v/>
      </c>
      <c r="E28" s="92" t="inlineStr">
        <is>
          <t>Phase 4 Target Start</t>
        </is>
      </c>
      <c r="F28" s="47" t="n">
        <v>46162</v>
      </c>
      <c r="G28" s="54" t="inlineStr">
        <is>
          <t>PLANNED</t>
        </is>
      </c>
      <c r="H28" s="33" t="inlineStr">
        <is>
          <t>Federal/DOE outreach begins</t>
        </is>
      </c>
    </row>
    <row r="29">
      <c r="A29" s="56" t="inlineStr">
        <is>
          <t>Medium</t>
        </is>
      </c>
      <c r="B29" s="10">
        <f>COUNTIF('Outreach Tracker'!F$4:F$100,A29)</f>
        <v/>
      </c>
      <c r="C29" s="36">
        <f>IF(B$6=0,0,B29/B$6)</f>
        <v/>
      </c>
      <c r="E29" s="92" t="inlineStr">
        <is>
          <t>Phase 5 Target Start</t>
        </is>
      </c>
      <c r="F29" s="47" t="n">
        <v>46169</v>
      </c>
      <c r="G29" s="54" t="inlineStr">
        <is>
          <t>PLANNED</t>
        </is>
      </c>
      <c r="H29" s="33" t="inlineStr">
        <is>
          <t>Utility outreach begins</t>
        </is>
      </c>
    </row>
    <row r="30">
      <c r="A30" s="57" t="inlineStr">
        <is>
          <t>Low</t>
        </is>
      </c>
      <c r="B30" s="21">
        <f>COUNTIF('Outreach Tracker'!F$4:F$100,A30)</f>
        <v/>
      </c>
      <c r="C30" s="40">
        <f>IF(B$6=0,0,B30/B$6)</f>
        <v/>
      </c>
      <c r="E30" s="92" t="inlineStr">
        <is>
          <t>Land-Data Platform Launch Target</t>
        </is>
      </c>
      <c r="F30" s="47" t="n">
        <v>46148</v>
      </c>
      <c r="G30" s="54" t="inlineStr">
        <is>
          <t>PLANNED</t>
        </is>
      </c>
      <c r="H30" s="33" t="inlineStr">
        <is>
          <t>Land-data capture platform launch</t>
        </is>
      </c>
    </row>
    <row r="31">
      <c r="A31" s="63" t="n"/>
      <c r="B31" s="21" t="n"/>
      <c r="C31" s="40" t="n"/>
      <c r="E31" s="92" t="inlineStr">
        <is>
          <t>Phase 6 Target Start (Finance)</t>
        </is>
      </c>
      <c r="F31" s="47" t="n">
        <v>46176</v>
      </c>
      <c r="G31" s="54" t="inlineStr">
        <is>
          <t>PLANNED</t>
        </is>
      </c>
      <c r="H31" s="33" t="inlineStr">
        <is>
          <t>Finance/Capital outreach begins</t>
        </is>
      </c>
    </row>
    <row r="32">
      <c r="A32" s="93" t="inlineStr">
        <is>
          <t>CATEGORY BREAKDOWN</t>
        </is>
      </c>
      <c r="B32" s="94" t="n"/>
      <c r="C32" s="95" t="n"/>
      <c r="E32" s="92" t="inlineStr">
        <is>
          <t>Phase 7 Target Start (AI/Compute)</t>
        </is>
      </c>
      <c r="F32" s="47" t="n">
        <v>46183</v>
      </c>
      <c r="G32" s="54" t="inlineStr">
        <is>
          <t>PLANNED</t>
        </is>
      </c>
      <c r="H32" s="33" t="inlineStr">
        <is>
          <t>AI/Compute demand outreach begins</t>
        </is>
      </c>
    </row>
    <row r="33">
      <c r="A33" s="78" t="inlineStr">
        <is>
          <t>Category</t>
        </is>
      </c>
      <c r="B33" s="79" t="inlineStr">
        <is>
          <t>Count</t>
        </is>
      </c>
      <c r="C33" s="80" t="inlineStr">
        <is>
          <t>% of Total</t>
        </is>
      </c>
      <c r="E33" s="96" t="inlineStr">
        <is>
          <t>White Paper Draft Target</t>
        </is>
      </c>
      <c r="F33" s="59" t="n">
        <v>46204</v>
      </c>
      <c r="G33" s="60" t="inlineStr">
        <is>
          <t>PLANNED</t>
        </is>
      </c>
      <c r="H33" s="97" t="inlineStr">
        <is>
          <t>Grid-Safe AI Compute white paper</t>
        </is>
      </c>
    </row>
    <row r="34">
      <c r="A34" s="41" t="inlineStr">
        <is>
          <t>Federal Government / DOE</t>
        </is>
      </c>
      <c r="B34" s="10">
        <f>COUNTIF('Outreach Tracker'!A$4:A$100,A34)</f>
        <v/>
      </c>
      <c r="C34" s="36">
        <f>IF(B$6=0,0,B34/B$6)</f>
        <v/>
      </c>
    </row>
    <row r="35">
      <c r="A35" s="37" t="inlineStr">
        <is>
          <t>National Laboratories</t>
        </is>
      </c>
      <c r="B35" s="10">
        <f>COUNTIF('Outreach Tracker'!A$4:A$100,A35)</f>
        <v/>
      </c>
      <c r="C35" s="36">
        <f>IF(B$6=0,0,B35/B$6)</f>
        <v/>
      </c>
    </row>
    <row r="36">
      <c r="A36" s="38" t="inlineStr">
        <is>
          <t>MV AI-UPS Vendors</t>
        </is>
      </c>
      <c r="B36" s="10">
        <f>COUNTIF('Outreach Tracker'!A$4:A$100,A36)</f>
        <v/>
      </c>
      <c r="C36" s="36">
        <f>IF(B$6=0,0,B36/B$6)</f>
        <v/>
      </c>
    </row>
    <row r="37">
      <c r="A37" s="62" t="inlineStr">
        <is>
          <t>Local Utility</t>
        </is>
      </c>
      <c r="B37" s="10">
        <f>COUNTIF('Outreach Tracker'!A$4:A$100,A37)</f>
        <v/>
      </c>
      <c r="C37" s="36">
        <f>IF(B$6=0,0,B37/B$6)</f>
        <v/>
      </c>
    </row>
    <row r="38">
      <c r="A38" s="98" t="inlineStr">
        <is>
          <t>Retained Builder Client</t>
        </is>
      </c>
      <c r="B38" s="10">
        <f>COUNTIF('Outreach Tracker'!A$4:A$100,A38)</f>
        <v/>
      </c>
      <c r="C38" s="36">
        <f>IF(B$6=0,0,B38/B$6)</f>
        <v/>
      </c>
    </row>
    <row r="39">
      <c r="A39" s="99" t="inlineStr">
        <is>
          <t>Landowners / Property Owners</t>
        </is>
      </c>
      <c r="B39" s="10">
        <f>COUNTIF('Outreach Tracker'!A$4:A$100,A39)</f>
        <v/>
      </c>
      <c r="C39" s="36">
        <f>IF(B$6=0,0,B39/B$6)</f>
        <v/>
      </c>
    </row>
    <row r="40">
      <c r="A40" s="100" t="inlineStr">
        <is>
          <t>Municipal / Local Government</t>
        </is>
      </c>
      <c r="B40" s="10">
        <f>COUNTIF('Outreach Tracker'!A$4:A$100,A40)</f>
        <v/>
      </c>
      <c r="C40" s="36">
        <f>IF(B$6=0,0,B40/B$6)</f>
        <v/>
      </c>
    </row>
    <row r="41">
      <c r="A41" s="101" t="inlineStr">
        <is>
          <t>Finance / Capital Partners</t>
        </is>
      </c>
      <c r="B41" s="10">
        <f>COUNTIF('Outreach Tracker'!A$4:A$100,A41)</f>
        <v/>
      </c>
      <c r="C41" s="36">
        <f>IF(B$6=0,0,B41/B$6)</f>
        <v/>
      </c>
    </row>
    <row r="42">
      <c r="A42" s="102" t="inlineStr">
        <is>
          <t>AI / Compute Demand Partners</t>
        </is>
      </c>
      <c r="B42" s="10">
        <f>COUNTIF('Outreach Tracker'!A$4:A$100,A42)</f>
        <v/>
      </c>
      <c r="C42" s="36">
        <f>IF(B$6=0,0,B42/B$6)</f>
        <v/>
      </c>
    </row>
    <row r="43">
      <c r="A43" s="41" t="inlineStr">
        <is>
          <t>State Government / Economic Development</t>
        </is>
      </c>
      <c r="B43" s="10">
        <f>COUNTIF('Outreach Tracker'!A$4:A$100,A43)</f>
        <v/>
      </c>
      <c r="C43" s="36">
        <f>IF(B$6=0,0,B43/B$6)</f>
        <v/>
      </c>
    </row>
    <row r="44">
      <c r="A44" s="38" t="inlineStr">
        <is>
          <t>Environmental / Regulatory</t>
        </is>
      </c>
      <c r="B44" s="10">
        <f>COUNTIF('Outreach Tracker'!A$4:A$100,A44)</f>
        <v/>
      </c>
      <c r="C44" s="36">
        <f>IF(B$6=0,0,B44/B$6)</f>
        <v/>
      </c>
    </row>
    <row r="45">
      <c r="A45" s="103" t="inlineStr">
        <is>
          <t>Media / Industry Press</t>
        </is>
      </c>
      <c r="B45" s="10">
        <f>COUNTIF('Outreach Tracker'!A$4:A$100,A45)</f>
        <v/>
      </c>
      <c r="C45" s="36">
        <f>IF(B$6=0,0,B45/B$6)</f>
        <v/>
      </c>
    </row>
    <row r="46">
      <c r="A46" s="62" t="inlineStr">
        <is>
          <t>Community / Public Affairs</t>
        </is>
      </c>
      <c r="B46" s="10">
        <f>COUNTIF('Outreach Tracker'!A$4:A$100,A46)</f>
        <v/>
      </c>
      <c r="C46" s="36">
        <f>IF(B$6=0,0,B46/B$6)</f>
        <v/>
      </c>
    </row>
    <row r="47">
      <c r="A47" s="63" t="inlineStr">
        <is>
          <t>Industry Associations / Standards Bodies</t>
        </is>
      </c>
      <c r="B47" s="21">
        <f>COUNTIF('Outreach Tracker'!A$4:A$100,A47)</f>
        <v/>
      </c>
      <c r="C47" s="40">
        <f>IF(B$6=0,0,B47/B$6)</f>
        <v/>
      </c>
    </row>
    <row r="48"/>
    <row r="49">
      <c r="A49" s="104" t="inlineStr">
        <is>
          <t>Last refreshed: Apr 29, 2026 | Prepared by: DataCenterConsulting.org | 14 stakeholder categories across 20 entities</t>
        </is>
      </c>
    </row>
  </sheetData>
  <mergeCells count="9">
    <mergeCell ref="A25:C25"/>
    <mergeCell ref="E18:H18"/>
    <mergeCell ref="A32:C32"/>
    <mergeCell ref="A2:H2"/>
    <mergeCell ref="E4:H4"/>
    <mergeCell ref="A18:C18"/>
    <mergeCell ref="A49:H49"/>
    <mergeCell ref="A1:H1"/>
    <mergeCell ref="A4:C4"/>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2026-04-29T21:54:32Z</dcterms:created>
  <dcterms:modified xmlns:dcterms="http://purl.org/dc/terms/" xmlns:xsi="http://www.w3.org/2001/XMLSchema-instance" xsi:type="dcterms:W3CDTF">2026-04-29T22:41:36Z</dcterms:modified>
</cp:coreProperties>
</file>